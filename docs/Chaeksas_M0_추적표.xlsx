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ADR 결정" sheetId="2" state="visible" r:id="rId2"/>
    <sheet xmlns:r="http://schemas.openxmlformats.org/officeDocument/2006/relationships" name="이름·용어" sheetId="3" state="visible" r:id="rId3"/>
    <sheet xmlns:r="http://schemas.openxmlformats.org/officeDocument/2006/relationships" name="포트·설정" sheetId="4" state="visible" r:id="rId4"/>
    <sheet xmlns:r="http://schemas.openxmlformats.org/officeDocument/2006/relationships" name="화면 목록" sheetId="5" state="visible" r:id="rId5"/>
    <sheet xmlns:r="http://schemas.openxmlformats.org/officeDocument/2006/relationships" name="업무 예제" sheetId="6" state="visible" r:id="rId6"/>
    <sheet xmlns:r="http://schemas.openxmlformats.org/officeDocument/2006/relationships" name="할 일" sheetId="7" state="visible" r:id="rId7"/>
  </sheets>
  <definedNames>
    <definedName name="_xlnm._FilterDatabase" localSheetId="1" hidden="1">'ADR 결정'!$A$1:$G$19</definedName>
    <definedName name="_xlnm._FilterDatabase" localSheetId="2" hidden="1">'이름·용어'!$A$1:$F$33</definedName>
    <definedName name="_xlnm._FilterDatabase" localSheetId="3" hidden="1">'포트·설정'!$A$1:$E$12</definedName>
    <definedName name="_xlnm._FilterDatabase" localSheetId="4" hidden="1">'화면 목록'!$A$1:$I$45</definedName>
    <definedName name="_xlnm._FilterDatabase" localSheetId="5" hidden="1">'업무 예제'!$A$1:$I$51</definedName>
    <definedName name="_xlnm._FilterDatabase" localSheetId="6" hidden="1">'할 일'!$A$1:$E$34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i val="1"/>
    </font>
    <font>
      <name val="Arial"/>
      <b val="1"/>
      <sz val="14"/>
    </font>
    <font>
      <name val="Arial"/>
      <i val="1"/>
      <color rgb="00595959"/>
    </font>
    <font>
      <name val="Arial"/>
      <b val="1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9" fontId="2" fillId="0" borderId="1" pivotButton="0" quotePrefix="0" xfId="0"/>
    <xf numFmtId="0" fontId="6" fillId="0" borderId="0" pivotButton="0" quotePrefix="0" xfId="0"/>
    <xf numFmtId="0" fontId="2" fillId="0" borderId="0" applyAlignment="1" pivotButton="0" quotePrefix="0" xfId="0">
      <alignment vertical="top" wrapText="1"/>
    </xf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60" customWidth="1" min="3" max="3"/>
  </cols>
  <sheetData>
    <row r="1">
      <c r="A1" s="1" t="inlineStr">
        <is>
          <t>Chaeksas M0 결정·검토 추적</t>
        </is>
      </c>
    </row>
    <row r="2">
      <c r="A2" s="2" t="inlineStr">
        <is>
          <t>기준: docs/ 문서 묶음 (2026-10-01, ADR-0018·C14·업무 예제 50개까지). 원본은 저장소 Markdown이며, 이 파일은 결정·검토 진행을 적는 작업표다.</t>
        </is>
      </c>
    </row>
    <row r="4">
      <c r="A4" s="3" t="inlineStr">
        <is>
          <t>항목</t>
        </is>
      </c>
      <c r="B4" s="3" t="inlineStr">
        <is>
          <t>값</t>
        </is>
      </c>
      <c r="C4" s="3" t="inlineStr">
        <is>
          <t>설명</t>
        </is>
      </c>
    </row>
    <row r="5">
      <c r="A5" s="4" t="inlineStr">
        <is>
          <t>ADR 전체</t>
        </is>
      </c>
      <c r="B5" s="4">
        <f>COUNTA('ADR 결정'!A2:A19)</f>
        <v/>
      </c>
      <c r="C5" s="4" t="inlineStr"/>
    </row>
    <row r="6">
      <c r="A6" s="4" t="inlineStr">
        <is>
          <t>ADR 현재 '제안' 상태 (결정 필요)</t>
        </is>
      </c>
      <c r="B6" s="4">
        <f>COUNTIF('ADR 결정'!D2:D19,"제안*")</f>
        <v/>
      </c>
      <c r="C6" s="4" t="inlineStr"/>
    </row>
    <row r="7">
      <c r="A7" s="4" t="inlineStr">
        <is>
          <t>ADR 내 결정 입력 완료</t>
        </is>
      </c>
      <c r="B7" s="4">
        <f>COUNTA('ADR 결정'!E2:E19)</f>
        <v/>
      </c>
      <c r="C7" s="4" t="inlineStr"/>
    </row>
    <row r="8">
      <c r="A8" s="4" t="inlineStr">
        <is>
          <t>ADR 결정 남음 (제안 중 미입력)</t>
        </is>
      </c>
      <c r="B8" s="4">
        <f>SUMPRODUCT((LEFT('ADR 결정'!D2:D19,2)="제안")*('ADR 결정'!E2:E19=""))</f>
        <v/>
      </c>
      <c r="C8" s="4" t="inlineStr">
        <is>
          <t>'내 결정'이 비어 있는 제안 ADR 수</t>
        </is>
      </c>
    </row>
    <row r="9">
      <c r="A9" s="4" t="inlineStr">
        <is>
          <t>화면 전체</t>
        </is>
      </c>
      <c r="B9" s="4">
        <f>COUNTA('화면 목록'!A2:A45)</f>
        <v/>
      </c>
      <c r="C9" s="4" t="inlineStr"/>
    </row>
    <row r="10">
      <c r="A10" s="4" t="inlineStr">
        <is>
          <t>화면 - 신규</t>
        </is>
      </c>
      <c r="B10" s="4">
        <f>COUNTIF('화면 목록'!F2:F45,"신규")</f>
        <v/>
      </c>
      <c r="C10" s="4" t="inlineStr"/>
    </row>
    <row r="11">
      <c r="A11" s="4" t="inlineStr">
        <is>
          <t>화면 - 검토 '확인'</t>
        </is>
      </c>
      <c r="B11" s="4">
        <f>COUNTIF('화면 목록'!H2:H45,"확인")</f>
        <v/>
      </c>
      <c r="C11" s="4" t="inlineStr"/>
    </row>
    <row r="12">
      <c r="A12" s="4" t="inlineStr">
        <is>
          <t>화면 검토율</t>
        </is>
      </c>
      <c r="B12" s="5">
        <f>IFERROR(B11/B9,0)</f>
        <v/>
      </c>
      <c r="C12" s="4" t="inlineStr">
        <is>
          <t>검토 '확인' ÷ 화면 전체</t>
        </is>
      </c>
    </row>
    <row r="13">
      <c r="A13" s="4" t="inlineStr">
        <is>
          <t>할 일 전체</t>
        </is>
      </c>
      <c r="B13" s="4">
        <f>COUNTA('할 일'!B2:B34)</f>
        <v/>
      </c>
      <c r="C13" s="4" t="inlineStr"/>
    </row>
    <row r="14">
      <c r="A14" s="4" t="inlineStr">
        <is>
          <t>할 일 완료</t>
        </is>
      </c>
      <c r="B14" s="4">
        <f>COUNTIF('할 일'!D2:D34,"완료")</f>
        <v/>
      </c>
      <c r="C14" s="4" t="inlineStr"/>
    </row>
    <row r="15">
      <c r="A15" s="4" t="inlineStr">
        <is>
          <t>할 일 완료율</t>
        </is>
      </c>
      <c r="B15" s="5">
        <f>IFERROR(B14/B13,0)</f>
        <v/>
      </c>
      <c r="C15" s="4" t="inlineStr">
        <is>
          <t>'완료' ÷ 할 일 전체</t>
        </is>
      </c>
    </row>
    <row r="16">
      <c r="A16" s="4" t="inlineStr">
        <is>
          <t>업무 예제 전체</t>
        </is>
      </c>
      <c r="B16" s="4">
        <f>COUNTA('업무 예제'!A2:A51)</f>
        <v/>
      </c>
      <c r="C16" s="4" t="inlineStr"/>
    </row>
    <row r="17">
      <c r="A17" s="4" t="inlineStr">
        <is>
          <t>업무 예제 검토 '확인'</t>
        </is>
      </c>
      <c r="B17" s="4">
        <f>COUNTIF('업무 예제'!H2:H51,"확인")</f>
        <v/>
      </c>
      <c r="C17" s="4" t="inlineStr"/>
    </row>
    <row r="19">
      <c r="A19" s="6" t="inlineStr">
        <is>
          <t>입력 방법</t>
        </is>
      </c>
    </row>
    <row r="20" ht="30" customHeight="1">
      <c r="A20" s="7" t="inlineStr">
        <is>
          <t>노란 칸만 입력한다 (내 결정, 검토, 상태, 메모, 의견). 나머지는 문서에서 옮긴 값이다.</t>
        </is>
      </c>
    </row>
    <row r="21" ht="30" customHeight="1">
      <c r="A21" s="7" t="inlineStr">
        <is>
          <t>드롭다운: ADR '내 결정' = 수락 / 수정 후 수락 / 보류 / 반려, 화면·업무 예제 '검토' = 검토 전 / 확인 / 수정 필요 / 보류, 할 일 '상태' = 대기 / 진행 중 / 완료 / 보류.</t>
        </is>
      </c>
    </row>
    <row r="22" ht="30" customHeight="1">
      <c r="A22" s="7" t="inlineStr">
        <is>
          <t>예: ADR 0005 행의 '내 결정'에 '수락', 메모에 '3.13은 M1 CI 이후 재검토'.</t>
        </is>
      </c>
    </row>
    <row r="23" ht="30" customHeight="1">
      <c r="A23" s="7" t="inlineStr">
        <is>
          <t>결정이 나면 Claude가 해당 ADR 파일과 docs/decisions/README.md의 상태를 바꾼다.</t>
        </is>
      </c>
    </row>
  </sheetData>
  <mergeCells count="4">
    <mergeCell ref="A23:C23"/>
    <mergeCell ref="A20:C20"/>
    <mergeCell ref="A21:C21"/>
    <mergeCell ref="A22:C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8" customWidth="1" min="2" max="2"/>
    <col width="52" customWidth="1" min="3" max="3"/>
    <col width="16" customWidth="1" min="4" max="4"/>
    <col width="16" customWidth="1" min="5" max="5"/>
    <col width="36" customWidth="1" min="6" max="6"/>
    <col width="52" customWidth="1" min="7" max="7"/>
  </cols>
  <sheetData>
    <row r="1">
      <c r="A1" s="8" t="inlineStr">
        <is>
          <t>ADR</t>
        </is>
      </c>
      <c r="B1" s="8" t="inlineStr">
        <is>
          <t>결정</t>
        </is>
      </c>
      <c r="C1" s="8" t="inlineStr">
        <is>
          <t>제안 내용</t>
        </is>
      </c>
      <c r="D1" s="8" t="inlineStr">
        <is>
          <t>현재 상태</t>
        </is>
      </c>
      <c r="E1" s="8" t="inlineStr">
        <is>
          <t>내 결정 (입력)</t>
        </is>
      </c>
      <c r="F1" s="8" t="inlineStr">
        <is>
          <t>메모 (입력)</t>
        </is>
      </c>
      <c r="G1" s="8" t="inlineStr">
        <is>
          <t>파일</t>
        </is>
      </c>
    </row>
    <row r="2">
      <c r="A2" s="9" t="inlineStr">
        <is>
          <t>0001</t>
        </is>
      </c>
      <c r="B2" s="9" t="inlineStr">
        <is>
          <t>새 저장소로 다시 만들고 프로토타입 4개는 참고용으로 동결</t>
        </is>
      </c>
      <c r="C2" s="9" t="inlineStr">
        <is>
          <t>Chaeksas 새 저장소, 프로토타입은 읽기 전용</t>
        </is>
      </c>
      <c r="D2" s="9" t="inlineStr">
        <is>
          <t>수락</t>
        </is>
      </c>
      <c r="E2" s="10" t="inlineStr">
        <is>
          <t>수락</t>
        </is>
      </c>
      <c r="F2" s="10" t="inlineStr">
        <is>
          <t>이전 결정</t>
        </is>
      </c>
      <c r="G2" s="9" t="inlineStr">
        <is>
          <t>docs/decisions/0001-new-repo-prototypes-as-reference.md</t>
        </is>
      </c>
    </row>
    <row r="3">
      <c r="A3" s="9" t="inlineStr">
        <is>
          <t>0002</t>
        </is>
      </c>
      <c r="B3" s="9" t="inlineStr">
        <is>
          <t>문서를 먼저 쓰고, 문서는 저장소 안 Markdown으로</t>
        </is>
      </c>
      <c r="C3" s="9" t="inlineStr">
        <is>
          <t>실험 → 결정(ADR) → 명세 → 구현</t>
        </is>
      </c>
      <c r="D3" s="9" t="inlineStr">
        <is>
          <t>수락</t>
        </is>
      </c>
      <c r="E3" s="10" t="inlineStr">
        <is>
          <t>수락</t>
        </is>
      </c>
      <c r="F3" s="10" t="inlineStr">
        <is>
          <t>이전 결정</t>
        </is>
      </c>
      <c r="G3" s="9" t="inlineStr">
        <is>
          <t>docs/decisions/0002-docs-first-and-adr.md</t>
        </is>
      </c>
    </row>
    <row r="4">
      <c r="A4" s="9" t="inlineStr">
        <is>
          <t>0003</t>
        </is>
      </c>
      <c r="B4" s="9" t="inlineStr">
        <is>
          <t>서버는 Linux 주, 클라이언트는 Windows 주</t>
        </is>
      </c>
      <c r="C4" s="9" t="inlineStr">
        <is>
          <t>Center·서비스 앱 = Linux 주 / Studio·Bot UI·Worker 프로세스 = Windows 주</t>
        </is>
      </c>
      <c r="D4" s="9" t="inlineStr">
        <is>
          <t>수락</t>
        </is>
      </c>
      <c r="E4" s="10" t="inlineStr">
        <is>
          <t>수락</t>
        </is>
      </c>
      <c r="F4" s="10" t="inlineStr">
        <is>
          <t>이전 결정</t>
        </is>
      </c>
      <c r="G4" s="9" t="inlineStr">
        <is>
          <t>docs/decisions/0003-target-platforms.md</t>
        </is>
      </c>
    </row>
    <row r="5">
      <c r="A5" s="9" t="inlineStr">
        <is>
          <t>0004</t>
        </is>
      </c>
      <c r="B5" s="9" t="inlineStr">
        <is>
          <t>저장소 하나, uv 워크스페이스</t>
        </is>
      </c>
      <c r="C5" s="9" t="inlineStr">
        <is>
          <t>4개로 나누지 않고 한 저장소 (packages/ apps/ services/)</t>
        </is>
      </c>
      <c r="D5" s="9" t="inlineStr">
        <is>
          <t>수락</t>
        </is>
      </c>
      <c r="E5" s="10" t="inlineStr">
        <is>
          <t>수락</t>
        </is>
      </c>
      <c r="F5" s="10" t="inlineStr">
        <is>
          <t>하나의 저장소</t>
        </is>
      </c>
      <c r="G5" s="9" t="inlineStr">
        <is>
          <t>docs/decisions/0004-monorepo-uv-workspace.md</t>
        </is>
      </c>
    </row>
    <row r="6">
      <c r="A6" s="9" t="inlineStr">
        <is>
          <t>0005</t>
        </is>
      </c>
      <c r="B6" s="9" t="inlineStr">
        <is>
          <t>Python 버전 통일</t>
        </is>
      </c>
      <c r="C6" s="9" t="inlineStr">
        <is>
          <t>3.12 (&gt;=3.12,&lt;3.13)</t>
        </is>
      </c>
      <c r="D6" s="9" t="inlineStr">
        <is>
          <t>수락</t>
        </is>
      </c>
      <c r="E6" s="10" t="inlineStr">
        <is>
          <t>수락</t>
        </is>
      </c>
      <c r="F6" s="10" t="inlineStr">
        <is>
          <t>3.12로 통일</t>
        </is>
      </c>
      <c r="G6" s="9" t="inlineStr">
        <is>
          <t>docs/decisions/0005-python-version.md</t>
        </is>
      </c>
    </row>
    <row r="7">
      <c r="A7" s="9" t="inlineStr">
        <is>
          <t>0006</t>
        </is>
      </c>
      <c r="B7" s="9" t="inlineStr">
        <is>
          <t>계약은 패키지 하나, 스키마 버전 정수</t>
        </is>
      </c>
      <c r="C7" s="9" t="inlineStr">
        <is>
          <t>packages/contracts 단일 원본, 계약마다 schema 번호</t>
        </is>
      </c>
      <c r="D7" s="9" t="inlineStr">
        <is>
          <t>수락</t>
        </is>
      </c>
      <c r="E7" s="10" t="inlineStr">
        <is>
          <t>수락</t>
        </is>
      </c>
      <c r="F7" s="10" t="inlineStr"/>
      <c r="G7" s="9" t="inlineStr">
        <is>
          <t>docs/decisions/0006-single-contracts-package.md</t>
        </is>
      </c>
    </row>
    <row r="8">
      <c r="A8" s="9" t="inlineStr">
        <is>
          <t>0007</t>
        </is>
      </c>
      <c r="B8" s="9" t="inlineStr">
        <is>
          <t>통신은 항상 현장 PC → 서버</t>
        </is>
      </c>
      <c r="C8" s="9" t="inlineStr">
        <is>
          <t>서버는 먼저 연결하지 않음, 지시는 하트비트 응답으로</t>
        </is>
      </c>
      <c r="D8" s="9" t="inlineStr">
        <is>
          <t>수락</t>
        </is>
      </c>
      <c r="E8" s="10" t="inlineStr">
        <is>
          <t>수락</t>
        </is>
      </c>
      <c r="F8" s="10" t="inlineStr"/>
      <c r="G8" s="9" t="inlineStr">
        <is>
          <t>docs/decisions/0007-client-initiated-communication.md</t>
        </is>
      </c>
    </row>
    <row r="9">
      <c r="A9" s="9" t="inlineStr">
        <is>
          <t>0008</t>
        </is>
      </c>
      <c r="B9" s="9" t="inlineStr">
        <is>
          <t>역할 경계</t>
        </is>
      </c>
      <c r="C9" s="9" t="inlineStr">
        <is>
          <t>BPMN = 지도, AI = 운전사 (실행·손 이름은 0012로 갱신)</t>
        </is>
      </c>
      <c r="D9" s="9" t="inlineStr">
        <is>
          <t>수락 · 일부 대체됨</t>
        </is>
      </c>
      <c r="E9" s="10" t="inlineStr">
        <is>
          <t>수정 후 수락</t>
        </is>
      </c>
      <c r="F9" s="10" t="inlineStr">
        <is>
          <t>역할 이름은 ADR-0012가 대체</t>
        </is>
      </c>
      <c r="G9" s="9" t="inlineStr">
        <is>
          <t>docs/decisions/0008-map-driver-hands-boundary.md</t>
        </is>
      </c>
    </row>
    <row r="10">
      <c r="A10" s="9" t="inlineStr">
        <is>
          <t>0009</t>
        </is>
      </c>
      <c r="B10" s="9" t="inlineStr">
        <is>
          <t>Worker 배치 형태</t>
        </is>
      </c>
      <c r="C10" s="9" t="inlineStr">
        <is>
          <t>별도 트레이 앱 안</t>
        </is>
      </c>
      <c r="D10" s="9" t="inlineStr">
        <is>
          <t>대체됨 (0012)</t>
        </is>
      </c>
      <c r="E10" s="10" t="inlineStr">
        <is>
          <t>수정 후 수락</t>
        </is>
      </c>
      <c r="F10" s="10" t="inlineStr">
        <is>
          <t>ADR-0012: Worker는 Bot UI가 관리하는 서버 프로세스</t>
        </is>
      </c>
      <c r="G10" s="9" t="inlineStr">
        <is>
          <t>docs/decisions/0009-worker-deployment-form.md</t>
        </is>
      </c>
    </row>
    <row r="11">
      <c r="A11" s="9" t="inlineStr">
        <is>
          <t>0010</t>
        </is>
      </c>
      <c r="B11" s="9" t="inlineStr">
        <is>
          <t>서비스 앱</t>
        </is>
      </c>
      <c r="C11" s="9" t="inlineStr">
        <is>
          <t>"서비스 앱" 확정. 수행 모드: Studio = 자율 수행, Bot = 결정 수행 (인증 부분은 0013으로)</t>
        </is>
      </c>
      <c r="D11" s="9" t="inlineStr">
        <is>
          <t>수락 · 일부 대체됨</t>
        </is>
      </c>
      <c r="E11" s="10" t="inlineStr">
        <is>
          <t>수정 후 수락</t>
        </is>
      </c>
      <c r="F11" s="10" t="inlineStr">
        <is>
          <t>§3 인증·§4-7 키 동기화는 ADR-0013이 대체</t>
        </is>
      </c>
      <c r="G11" s="9" t="inlineStr">
        <is>
          <t>docs/decisions/0010-service-apps.md</t>
        </is>
      </c>
    </row>
    <row r="12">
      <c r="A12" s="9" t="inlineStr">
        <is>
          <t>0011</t>
        </is>
      </c>
      <c r="B12" s="9" t="inlineStr">
        <is>
          <t>포트 기본값 + 설정 변경, 환경변수 CHK_</t>
        </is>
      </c>
      <c r="C12" s="9" t="inlineStr">
        <is>
          <t>기본 포트 사용, 설정·환경변수로 변경</t>
        </is>
      </c>
      <c r="D12" s="9" t="inlineStr">
        <is>
          <t>수락</t>
        </is>
      </c>
      <c r="E12" s="10" t="inlineStr">
        <is>
          <t>수락</t>
        </is>
      </c>
      <c r="F12" s="10" t="inlineStr">
        <is>
          <t>기본 포트 사용 + 설정 변경, CHK_</t>
        </is>
      </c>
      <c r="G12" s="9" t="inlineStr">
        <is>
          <t>docs/decisions/0011-config-ports-env.md</t>
        </is>
      </c>
    </row>
    <row r="13">
      <c r="A13" s="9" t="inlineStr">
        <is>
          <t>0012</t>
        </is>
      </c>
      <c r="B13" s="9" t="inlineStr">
        <is>
          <t>현장 PC의 프로그램은 Bot UI 하나</t>
        </is>
      </c>
      <c r="C13" s="9" t="inlineStr">
        <is>
          <t>Bot UI(트레이 GUI) = Bot 다운로드·실행 + Worker 프로세스 실행 관리 + UI 셀렉터 등록. Bot = BPM 프로세스. Worker = 화면 없는 REST 서버</t>
        </is>
      </c>
      <c r="D13" s="9" t="inlineStr">
        <is>
          <t>수락 · 일부 대체됨</t>
        </is>
      </c>
      <c r="E13" s="10" t="inlineStr">
        <is>
          <t>수락</t>
        </is>
      </c>
      <c r="F13" s="10" t="inlineStr">
        <is>
          <t>실행기 동시 실행 제안은 ADR-0014가 대체</t>
        </is>
      </c>
      <c r="G13" s="9" t="inlineStr">
        <is>
          <t>docs/decisions/0012-bot-ui.md</t>
        </is>
      </c>
    </row>
    <row r="14">
      <c r="A14" s="9" t="inlineStr">
        <is>
          <t>0013</t>
        </is>
      </c>
      <c r="B14" s="9" t="inlineStr">
        <is>
          <t>API 키</t>
        </is>
      </c>
      <c r="C14" s="9" t="inlineStr">
        <is>
          <t>Center API 키: Center 콘솔 발급 → Bot UI 등록. 서비스 앱 키: 각 앱 관리 콘솔 발급. 지정 위치: BPM 프로세스에 키 참조(안 C 확정)</t>
        </is>
      </c>
      <c r="D14" s="9" t="inlineStr">
        <is>
          <t>수락</t>
        </is>
      </c>
      <c r="E14" s="10" t="inlineStr">
        <is>
          <t>수락</t>
        </is>
      </c>
      <c r="F14" s="10" t="inlineStr">
        <is>
          <t>§3 안 C 확정 (2026-10-01)</t>
        </is>
      </c>
      <c r="G14" s="9" t="inlineStr">
        <is>
          <t>docs/decisions/0013-api-keys.md</t>
        </is>
      </c>
    </row>
    <row r="15">
      <c r="A15" s="9" t="inlineStr">
        <is>
          <t>0014</t>
        </is>
      </c>
      <c r="B15" s="9" t="inlineStr">
        <is>
          <t>PC 한 대에서 실행 중인 Bot은 하나</t>
        </is>
      </c>
      <c r="C15" s="9" t="inlineStr">
        <is>
          <t>실행 자리 1개, 나머지는 Bot UI 대기열(FIFO, 기본 20건). 실행기는 격리용으로 하나만. Worker UI 세션도 하나</t>
        </is>
      </c>
      <c r="D15" s="9" t="inlineStr">
        <is>
          <t>수락</t>
        </is>
      </c>
      <c r="E15" s="10" t="inlineStr">
        <is>
          <t>수락</t>
        </is>
      </c>
      <c r="F15" s="10" t="inlineStr">
        <is>
          <t>§5 확정: 결재 대기 중에도 끝날 때까지 자리를 쥔다</t>
        </is>
      </c>
      <c r="G15" s="9" t="inlineStr">
        <is>
          <t>docs/decisions/0014-one-bot-per-pc.md</t>
        </is>
      </c>
    </row>
    <row r="16">
      <c r="A16" s="9" t="inlineStr">
        <is>
          <t>0015</t>
        </is>
      </c>
      <c r="B16" s="9" t="inlineStr">
        <is>
          <t>BPM 프로세스의 실행 위치: PC 또는 서버</t>
        </is>
      </c>
      <c r="C16" s="9" t="inlineStr">
        <is>
          <t>PC = Bot UI에서 하나씩·끝까지. 서버 = Center가 관리하는 서버 실행기에서 동시 실행(상한), 기다리는 동안 상태 저장. 서버에서는 UI 태스크·웹/데스크톱 AI 태스크·현장 확인 불가</t>
        </is>
      </c>
      <c r="D16" s="9" t="inlineStr">
        <is>
          <t>수락 · 일부 대체됨</t>
        </is>
      </c>
      <c r="E16" s="10" t="inlineStr">
        <is>
          <t>수락</t>
        </is>
      </c>
      <c r="F16" s="10" t="inlineStr">
        <is>
          <t>기본값 pc → server (ADR-0016)</t>
        </is>
      </c>
      <c r="G16" s="9" t="inlineStr">
        <is>
          <t>docs/decisions/0015-run-location.md</t>
        </is>
      </c>
    </row>
    <row r="17">
      <c r="A17" s="9" t="inlineStr">
        <is>
          <t>0016</t>
        </is>
      </c>
      <c r="B17" s="9" t="inlineStr">
        <is>
          <t>서버 우선</t>
        </is>
      </c>
      <c r="C17" s="9" t="inlineStr">
        <is>
          <t>업무 대부분은 서버 Bot(기본값 서버). PC Bot은 UI 조작·현장 확인·PC 전용 자원이 필요할 때만. 서버 Bot 이름·상한 10/5·M7 확정</t>
        </is>
      </c>
      <c r="D17" s="9" t="inlineStr">
        <is>
          <t>수락</t>
        </is>
      </c>
      <c r="E17" s="10" t="inlineStr">
        <is>
          <t>수락</t>
        </is>
      </c>
      <c r="F17" s="10" t="inlineStr">
        <is>
          <t>PC 위임(서버 Bot → PC Bot)은 제안</t>
        </is>
      </c>
      <c r="G17" s="9" t="inlineStr">
        <is>
          <t>docs/decisions/0016-server-first.md</t>
        </is>
      </c>
    </row>
    <row r="18">
      <c r="A18" s="9" t="inlineStr">
        <is>
          <t>0017</t>
        </is>
      </c>
      <c r="B18" s="9" t="inlineStr">
        <is>
          <t>웹 화면 Next.js + 디자인 토큰 하나</t>
        </is>
      </c>
      <c r="C18" s="9" t="inlineStr">
        <is>
          <t>Center 콘솔·서비스 앱 관리 콘솔은 Next.js(BFF로 토큰 숨김), Streamlit 폐기. 웹·Qt 모두 design/tokens.json과 스타일 가이드를 따름</t>
        </is>
      </c>
      <c r="D18" s="9" t="inlineStr">
        <is>
          <t>수락</t>
        </is>
      </c>
      <c r="E18" s="10" t="inlineStr">
        <is>
          <t>수락</t>
        </is>
      </c>
      <c r="F18" s="10" t="inlineStr">
        <is>
          <t>라이브러리 버전은 M1에서 고정</t>
        </is>
      </c>
      <c r="G18" s="9" t="inlineStr">
        <is>
          <t>docs/decisions/0017-web-nextjs-design-system.md</t>
        </is>
      </c>
    </row>
    <row r="19">
      <c r="A19" s="9" t="inlineStr">
        <is>
          <t>0018</t>
        </is>
      </c>
      <c r="B19" s="9" t="inlineStr">
        <is>
          <t>확장(Extension) 모델</t>
        </is>
      </c>
      <c r="C19" s="9" t="inlineStr">
        <is>
          <t>공통 기능은 확장으로: 내장(이 저장소)·사내·외부(정의만) 등급, VS Code식 기여 지점, 외부 앱은 Admin 서명된 HTTP 어댑터. UI 자동화 = 첫 내장 확장, Bot UI 셀렉터 등록 = 확장 기여 유틸리티</t>
        </is>
      </c>
      <c r="D19" s="9" t="inlineStr">
        <is>
          <t>수락</t>
        </is>
      </c>
      <c r="E19" s="10" t="inlineStr">
        <is>
          <t>수락</t>
        </is>
      </c>
      <c r="F19" s="10" t="inlineStr">
        <is>
          <t>사내 확장 코드 배포(서명된 확장 패키지)는 제안</t>
        </is>
      </c>
      <c r="G19" s="9" t="inlineStr">
        <is>
          <t>docs/decisions/0018-extensions.md</t>
        </is>
      </c>
    </row>
  </sheetData>
  <autoFilter ref="A1:G19"/>
  <dataValidations count="1">
    <dataValidation sqref="E2:E19" showDropDown="0" showInputMessage="0" showErrorMessage="0" allowBlank="1" type="list">
      <formula1>"수락,수정 후 수락,보류,반려"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0" customWidth="1" min="2" max="2"/>
    <col width="18" customWidth="1" min="3" max="3"/>
    <col width="24" customWidth="1" min="4" max="4"/>
    <col width="40" customWidth="1" min="5" max="5"/>
    <col width="32" customWidth="1" min="6" max="6"/>
  </cols>
  <sheetData>
    <row r="1">
      <c r="A1" s="8" t="inlineStr">
        <is>
          <t>항목</t>
        </is>
      </c>
      <c r="B1" s="8" t="inlineStr">
        <is>
          <t>상태</t>
        </is>
      </c>
      <c r="C1" s="8" t="inlineStr">
        <is>
          <t>화면 표기</t>
        </is>
      </c>
      <c r="D1" s="8" t="inlineStr">
        <is>
          <t>코드</t>
        </is>
      </c>
      <c r="E1" s="8" t="inlineStr">
        <is>
          <t>비고</t>
        </is>
      </c>
      <c r="F1" s="8" t="inlineStr">
        <is>
          <t>의견 (입력)</t>
        </is>
      </c>
    </row>
    <row r="2">
      <c r="A2" s="9" t="inlineStr">
        <is>
          <t>업무 흐름 (배포 단위)</t>
        </is>
      </c>
      <c r="B2" s="9" t="inlineStr">
        <is>
          <t>확정</t>
        </is>
      </c>
      <c r="C2" s="9" t="inlineStr">
        <is>
          <t>BPM 프로세스 (운영 화면: Bot)</t>
        </is>
      </c>
      <c r="D2" s="9" t="inlineStr">
        <is>
          <t>process</t>
        </is>
      </c>
      <c r="E2" s="9" t="inlineStr">
        <is>
          <t>Studio에서는 BPM 프로세스, Center 콘솔·Bot UI에서는 Bot. 같은 것</t>
        </is>
      </c>
      <c r="F2" s="10" t="inlineStr"/>
    </row>
    <row r="3">
      <c r="A3" s="9" t="inlineStr">
        <is>
          <t>BPMN 파일 하나</t>
        </is>
      </c>
      <c r="B3" s="9" t="inlineStr">
        <is>
          <t>확정</t>
        </is>
      </c>
      <c r="C3" s="9" t="inlineStr">
        <is>
          <t>BPM 프로세스 정의</t>
        </is>
      </c>
      <c r="D3" s="9" t="inlineStr">
        <is>
          <t>process_definition</t>
        </is>
      </c>
      <c r="E3" s="9" t="inlineStr">
        <is>
          <t>진입 정의 1개 + 하위 정의 0개 이상</t>
        </is>
      </c>
      <c r="F3" s="10" t="inlineStr"/>
    </row>
    <row r="4">
      <c r="A4" s="9" t="inlineStr">
        <is>
          <t>현장 PC의 트레이 GUI 프로그램</t>
        </is>
      </c>
      <c r="B4" s="9" t="inlineStr">
        <is>
          <t>확정</t>
        </is>
      </c>
      <c r="C4" s="9" t="inlineStr">
        <is>
          <t>Bot UI</t>
        </is>
      </c>
      <c r="D4" s="9" t="inlineStr">
        <is>
          <t>bot_ui</t>
        </is>
      </c>
      <c r="E4" s="9" t="inlineStr">
        <is>
          <t>항상 실행, PC 한 대에 하나, Center 등록 단위. Bot 실행 + Worker 관리 + UI 셀렉터 등록</t>
        </is>
      </c>
      <c r="F4" s="10" t="inlineStr"/>
    </row>
    <row r="5">
      <c r="A5" s="9" t="inlineStr">
        <is>
          <t>Bot 실행 하나를 돌리는 OS 프로세스</t>
        </is>
      </c>
      <c r="B5" s="9" t="inlineStr">
        <is>
          <t>확정</t>
        </is>
      </c>
      <c r="C5" s="9" t="inlineStr">
        <is>
          <t>실행기 프로세스</t>
        </is>
      </c>
      <c r="D5" s="9" t="inlineStr">
        <is>
          <t>runner</t>
        </is>
      </c>
      <c r="E5" s="9" t="inlineStr">
        <is>
          <t>Bot UI의 자식, 동시에 하나만 (격리용)</t>
        </is>
      </c>
      <c r="F5" s="10" t="inlineStr"/>
    </row>
    <row r="6">
      <c r="A6" s="9" t="inlineStr">
        <is>
          <t>PC 한 대의 Bot 실행 자리</t>
        </is>
      </c>
      <c r="B6" s="9" t="inlineStr">
        <is>
          <t>확정</t>
        </is>
      </c>
      <c r="C6" s="9" t="inlineStr">
        <is>
          <t>실행 자리</t>
        </is>
      </c>
      <c r="D6" s="9" t="inlineStr">
        <is>
          <t>run_slot</t>
        </is>
      </c>
      <c r="E6" s="9" t="inlineStr">
        <is>
          <t>1개 고정, 결재 대기 중에도 끝까지 (ADR-0014)</t>
        </is>
      </c>
      <c r="F6" s="10" t="inlineStr"/>
    </row>
    <row r="7">
      <c r="A7" s="9" t="inlineStr">
        <is>
          <t>BPM 프로세스를 어디서 실행하나</t>
        </is>
      </c>
      <c r="B7" s="9" t="inlineStr">
        <is>
          <t>확정</t>
        </is>
      </c>
      <c r="C7" s="9" t="inlineStr">
        <is>
          <t>실행 위치</t>
        </is>
      </c>
      <c r="D7" s="9" t="inlineStr">
        <is>
          <t>run_location</t>
        </is>
      </c>
      <c r="E7" s="9" t="inlineStr">
        <is>
          <t>서버(기본) / PC — 서버 우선 (ADR-0016)</t>
        </is>
      </c>
      <c r="F7" s="10" t="inlineStr"/>
    </row>
    <row r="8">
      <c r="A8" s="9" t="inlineStr">
        <is>
          <t>서버에서 BPM 프로세스를 실행하는 프로세스</t>
        </is>
      </c>
      <c r="B8" s="9" t="inlineStr">
        <is>
          <t>확정</t>
        </is>
      </c>
      <c r="C8" s="9" t="inlineStr">
        <is>
          <t>서버 실행기</t>
        </is>
      </c>
      <c r="D8" s="9" t="inlineStr">
        <is>
          <t>server_runner</t>
        </is>
      </c>
      <c r="E8" s="9" t="inlineStr">
        <is>
          <t>Center가 관리, 동시 실행, apps/server_runner</t>
        </is>
      </c>
      <c r="F8" s="10" t="inlineStr"/>
    </row>
    <row r="9">
      <c r="A9" s="9" t="inlineStr">
        <is>
          <t>실행 위치가 서버인 BPM 프로세스 (운영 화면)</t>
        </is>
      </c>
      <c r="B9" s="9" t="inlineStr">
        <is>
          <t>확정</t>
        </is>
      </c>
      <c r="C9" s="9" t="inlineStr">
        <is>
          <t>서버 Bot</t>
        </is>
      </c>
      <c r="D9" s="9" t="inlineStr">
        <is>
          <t>server_bot</t>
        </is>
      </c>
      <c r="E9" s="9" t="inlineStr">
        <is>
          <t>PC 쪽은 그냥 Bot</t>
        </is>
      </c>
      <c r="F9" s="10" t="inlineStr"/>
    </row>
    <row r="10">
      <c r="A10" s="9" t="inlineStr">
        <is>
          <t>서버 Bot이 일부를 PC Bot에 맡기기</t>
        </is>
      </c>
      <c r="B10" s="9" t="inlineStr">
        <is>
          <t>제안</t>
        </is>
      </c>
      <c r="C10" s="9" t="inlineStr">
        <is>
          <t>PC 위임</t>
        </is>
      </c>
      <c r="D10" s="9" t="inlineStr">
        <is>
          <t>pc_delegation</t>
        </is>
      </c>
      <c r="E10" s="9" t="inlineStr">
        <is>
          <t>Call Activity로 PC BPM 프로세스 호출 → Center 작업</t>
        </is>
      </c>
      <c r="F10" s="10" t="inlineStr"/>
    </row>
    <row r="11">
      <c r="A11" s="9" t="inlineStr">
        <is>
          <t>실행 자리를 기다리는 요청 목록</t>
        </is>
      </c>
      <c r="B11" s="9" t="inlineStr">
        <is>
          <t>확정</t>
        </is>
      </c>
      <c r="C11" s="9" t="inlineStr">
        <is>
          <t>대기열</t>
        </is>
      </c>
      <c r="D11" s="9" t="inlineStr">
        <is>
          <t>run_queue</t>
        </is>
      </c>
      <c r="E11" s="9" t="inlineStr">
        <is>
          <t>Center 작업·수동·감시·일정·메시지. FIFO, 기본 20건</t>
        </is>
      </c>
      <c r="F11" s="10" t="inlineStr"/>
    </row>
    <row r="12">
      <c r="A12" s="9" t="inlineStr">
        <is>
          <t>UI 자동화를 하는 손</t>
        </is>
      </c>
      <c r="B12" s="9" t="inlineStr">
        <is>
          <t>확정</t>
        </is>
      </c>
      <c r="C12" s="9" t="inlineStr">
        <is>
          <t>Worker 프로세스</t>
        </is>
      </c>
      <c r="D12" s="9" t="inlineStr">
        <is>
          <t>worker</t>
        </is>
      </c>
      <c r="E12" s="9" t="inlineStr">
        <is>
          <t>화면 없는 127.0.0.1 REST 서버. Bot UI가 시작·감시. Bot·Studio가 호출</t>
        </is>
      </c>
      <c r="F12" s="10" t="inlineStr"/>
    </row>
    <row r="13">
      <c r="A13" s="9" t="inlineStr">
        <is>
          <t>"프로세스" 단독 사용</t>
        </is>
      </c>
      <c r="B13" s="9" t="inlineStr">
        <is>
          <t>확정</t>
        </is>
      </c>
      <c r="C13" s="9" t="inlineStr">
        <is>
          <t>금지</t>
        </is>
      </c>
      <c r="D13" s="9" t="inlineStr"/>
      <c r="E13" s="9" t="inlineStr">
        <is>
          <t>BPM 프로세스 / &lt;이름&gt; 프로세스 / &lt;이름&gt; UI로 구별</t>
        </is>
      </c>
      <c r="F13" s="10" t="inlineStr"/>
    </row>
    <row r="14">
      <c r="A14" s="9" t="inlineStr">
        <is>
          <t>BPM 프로세스가 API로 호출하는 서버 앱</t>
        </is>
      </c>
      <c r="B14" s="9" t="inlineStr">
        <is>
          <t>확정</t>
        </is>
      </c>
      <c r="C14" s="9" t="inlineStr">
        <is>
          <t>서비스 앱</t>
        </is>
      </c>
      <c r="D14" s="9" t="inlineStr">
        <is>
          <t>service_app</t>
        </is>
      </c>
      <c r="E14" s="9" t="inlineStr">
        <is>
          <t>업무용/시스템용, 대부분 LLM 앱. 앱마다 관리 콘솔</t>
        </is>
      </c>
      <c r="F14" s="10" t="inlineStr"/>
    </row>
    <row r="15">
      <c r="A15" s="9" t="inlineStr">
        <is>
          <t>서비스 앱의 웹 관리 화면</t>
        </is>
      </c>
      <c r="B15" s="9" t="inlineStr">
        <is>
          <t>확정</t>
        </is>
      </c>
      <c r="C15" s="9" t="inlineStr">
        <is>
          <t>서비스 앱 관리 콘솔</t>
        </is>
      </c>
      <c r="D15" s="9" t="inlineStr">
        <is>
          <t>console</t>
        </is>
      </c>
      <c r="E15" s="9" t="inlineStr">
        <is>
          <t>상태 · API 키 · 사용 기록 (+ 앱 고유 화면)</t>
        </is>
      </c>
      <c r="F15" s="10" t="inlineStr"/>
    </row>
    <row r="16">
      <c r="A16" s="9" t="inlineStr">
        <is>
          <t>개발 실행 모드 (Studio)</t>
        </is>
      </c>
      <c r="B16" s="9" t="inlineStr">
        <is>
          <t>확정</t>
        </is>
      </c>
      <c r="C16" s="9" t="inlineStr">
        <is>
          <t>자율 수행</t>
        </is>
      </c>
      <c r="D16" s="9" t="inlineStr">
        <is>
          <t>autonomous</t>
        </is>
      </c>
      <c r="E16" s="9" t="inlineStr">
        <is>
          <t>AI가 방법을 찾고 학습</t>
        </is>
      </c>
      <c r="F16" s="10" t="inlineStr"/>
    </row>
    <row r="17">
      <c r="A17" s="9" t="inlineStr">
        <is>
          <t>운영 실행 모드 (Bot UI)</t>
        </is>
      </c>
      <c r="B17" s="9" t="inlineStr">
        <is>
          <t>확정</t>
        </is>
      </c>
      <c r="C17" s="9" t="inlineStr">
        <is>
          <t>결정 수행</t>
        </is>
      </c>
      <c r="D17" s="9" t="inlineStr">
        <is>
          <t>deterministic</t>
        </is>
      </c>
      <c r="E17" s="9" t="inlineStr">
        <is>
          <t>학습·등록된 대로, LLM 없이(최소)</t>
        </is>
      </c>
      <c r="F17" s="10" t="inlineStr"/>
    </row>
    <row r="18">
      <c r="A18" s="9" t="inlineStr">
        <is>
          <t>Center 접속 인증</t>
        </is>
      </c>
      <c r="B18" s="9" t="inlineStr">
        <is>
          <t>확정</t>
        </is>
      </c>
      <c r="C18" s="9" t="inlineStr">
        <is>
          <t>Center API 키</t>
        </is>
      </c>
      <c r="D18" s="9" t="inlineStr">
        <is>
          <t>CHK_CENTER__API_KEY (개발·CI만)</t>
        </is>
      </c>
      <c r="E18" s="9" t="inlineStr">
        <is>
          <t>Center 콘솔 CON-11 발급 → Bot UI 설정(BUI-03)·Studio 설정. 등록 토큰 대체</t>
        </is>
      </c>
      <c r="F18" s="10" t="inlineStr"/>
    </row>
    <row r="19">
      <c r="A19" s="9" t="inlineStr">
        <is>
          <t>서비스 앱 호출 인증</t>
        </is>
      </c>
      <c r="B19" s="9" t="inlineStr">
        <is>
          <t>확정</t>
        </is>
      </c>
      <c r="C19" s="9" t="inlineStr">
        <is>
          <t>서비스 앱 API 키</t>
        </is>
      </c>
      <c r="D19" s="9" t="inlineStr">
        <is>
          <t>Authorization: Bearer</t>
        </is>
      </c>
      <c r="E19" s="9" t="inlineStr">
        <is>
          <t>각 서비스 앱 관리 콘솔(SVC-02) 발급, 앱이 검증. Center는 저장 안 함</t>
        </is>
      </c>
      <c r="F19" s="10" t="inlineStr"/>
    </row>
    <row r="20">
      <c r="A20" s="9" t="inlineStr">
        <is>
          <t>BPM 프로세스가 지정하는 키 이름</t>
        </is>
      </c>
      <c r="B20" s="9" t="inlineStr">
        <is>
          <t>확정</t>
        </is>
      </c>
      <c r="C20" s="9" t="inlineStr">
        <is>
          <t>키 참조</t>
        </is>
      </c>
      <c r="D20" s="9" t="inlineStr">
        <is>
          <t>key_ref</t>
        </is>
      </c>
      <c r="E20" s="9" t="inlineStr">
        <is>
          <t>값은 Bot UI(BUI-10)·Studio 비밀 저장소. 태스크는 상속, 예외만 바꿈</t>
        </is>
      </c>
      <c r="F20" s="10" t="inlineStr"/>
    </row>
    <row r="21">
      <c r="A21" s="9" t="inlineStr">
        <is>
          <t>첫 번째 서비스 앱</t>
        </is>
      </c>
      <c r="B21" s="9" t="inlineStr">
        <is>
          <t>확정</t>
        </is>
      </c>
      <c r="C21" s="9" t="inlineStr">
        <is>
          <t>UI 자동화 앱</t>
        </is>
      </c>
      <c r="D21" s="9" t="inlineStr">
        <is>
          <t>ui-automation</t>
        </is>
      </c>
      <c r="E21" s="9" t="inlineStr">
        <is>
          <t>Worker 프로세스가 BPM 프로세스를 대신해 호출</t>
        </is>
      </c>
      <c r="F21" s="10" t="inlineStr"/>
    </row>
    <row r="22">
      <c r="A22" s="9" t="inlineStr">
        <is>
          <t>셀렉터 등록 유틸리티</t>
        </is>
      </c>
      <c r="B22" s="9" t="inlineStr">
        <is>
          <t>확정</t>
        </is>
      </c>
      <c r="C22" s="9" t="inlineStr">
        <is>
          <t>UI 셀렉터 등록</t>
        </is>
      </c>
      <c r="D22" s="9" t="inlineStr"/>
      <c r="E22" s="9" t="inlineStr">
        <is>
          <t>Bot UI 안 (예전 Worker 화면 등록)</t>
        </is>
      </c>
      <c r="F22" s="10" t="inlineStr"/>
    </row>
    <row r="23">
      <c r="A23" s="9" t="inlineStr">
        <is>
          <t>Center 웹 화면</t>
        </is>
      </c>
      <c r="B23" s="9" t="inlineStr">
        <is>
          <t>확정</t>
        </is>
      </c>
      <c r="C23" s="9" t="inlineStr">
        <is>
          <t>Center 콘솔</t>
        </is>
      </c>
      <c r="D23" s="9" t="inlineStr">
        <is>
          <t>console</t>
        </is>
      </c>
      <c r="E23" s="9" t="inlineStr"/>
      <c r="F23" s="10" t="inlineStr"/>
    </row>
    <row r="24">
      <c r="A24" s="9" t="inlineStr">
        <is>
          <t>업무상 사람 결정 (UserTask)</t>
        </is>
      </c>
      <c r="B24" s="9" t="inlineStr">
        <is>
          <t>가안</t>
        </is>
      </c>
      <c r="C24" s="9" t="inlineStr">
        <is>
          <t>결재</t>
        </is>
      </c>
      <c r="D24" s="9" t="inlineStr">
        <is>
          <t>approval</t>
        </is>
      </c>
      <c r="E24" s="9" t="inlineStr">
        <is>
          <t>Center로 올릴 수 있음</t>
        </is>
      </c>
      <c r="F24" s="10" t="inlineStr"/>
    </row>
    <row r="25">
      <c r="A25" s="9" t="inlineStr">
        <is>
          <t>실행 중 막힘 (OTP 등)</t>
        </is>
      </c>
      <c r="B25" s="9" t="inlineStr">
        <is>
          <t>가안</t>
        </is>
      </c>
      <c r="C25" s="9" t="inlineStr">
        <is>
          <t>확인</t>
        </is>
      </c>
      <c r="D25" s="9" t="inlineStr">
        <is>
          <t>intervention</t>
        </is>
      </c>
      <c r="E25" s="9" t="inlineStr">
        <is>
          <t>화면 앞 사람만 답함</t>
        </is>
      </c>
      <c r="F25" s="10" t="inlineStr"/>
    </row>
    <row r="26">
      <c r="A26" s="9" t="inlineStr">
        <is>
          <t>자동 치유 한도 초과</t>
        </is>
      </c>
      <c r="B26" s="9" t="inlineStr">
        <is>
          <t>가안</t>
        </is>
      </c>
      <c r="C26" s="9" t="inlineStr">
        <is>
          <t>전환</t>
        </is>
      </c>
      <c r="D26" s="9" t="inlineStr">
        <is>
          <t>escalation</t>
        </is>
      </c>
      <c r="E26" s="9" t="inlineStr">
        <is>
          <t>확인으로 이어짐</t>
        </is>
      </c>
      <c r="F26" s="10" t="inlineStr"/>
    </row>
    <row r="27">
      <c r="A27" s="9" t="inlineStr">
        <is>
          <t>공통 기능을 붙이는 단위</t>
        </is>
      </c>
      <c r="B27" s="9" t="inlineStr">
        <is>
          <t>확정</t>
        </is>
      </c>
      <c r="C27" s="9" t="inlineStr">
        <is>
          <t>확장</t>
        </is>
      </c>
      <c r="D27" s="9" t="inlineStr">
        <is>
          <t>extension / extension.json</t>
        </is>
      </c>
      <c r="E27" s="9" t="inlineStr">
        <is>
          <t>내장·사내·외부. 서비스 앱 = 확장의 서버 부분 (ADR-0018, C13)</t>
        </is>
      </c>
      <c r="F27" s="10" t="inlineStr"/>
    </row>
    <row r="28">
      <c r="A28" s="9" t="inlineStr">
        <is>
          <t>이 저장소·C11 밖의 서버 앱</t>
        </is>
      </c>
      <c r="B28" s="9" t="inlineStr">
        <is>
          <t>확정</t>
        </is>
      </c>
      <c r="C28" s="9" t="inlineStr">
        <is>
          <t>외부 앱</t>
        </is>
      </c>
      <c r="D28" s="9" t="inlineStr">
        <is>
          <t>external app</t>
        </is>
      </c>
      <c r="E28" s="9" t="inlineStr">
        <is>
          <t>흔히 외부 LLM 앱. HTTP 어댑터로만, Admin 서명 필요</t>
        </is>
      </c>
      <c r="F28" s="10" t="inlineStr"/>
    </row>
    <row r="29">
      <c r="A29" s="9" t="inlineStr">
        <is>
          <t>확장이 플랫폼에 더하는 것</t>
        </is>
      </c>
      <c r="B29" s="9" t="inlineStr">
        <is>
          <t>확정</t>
        </is>
      </c>
      <c r="C29" s="9" t="inlineStr">
        <is>
          <t>기여 / 기여 지점</t>
        </is>
      </c>
      <c r="D29" s="9" t="inlineStr">
        <is>
          <t>contributes</t>
        </is>
      </c>
      <c r="E29" s="9" t="inlineStr">
        <is>
          <t>태스크 종류, 편집기, Bot UI 유틸리티, 로컬 런타임, 설정, 콘솔 화면, 자원</t>
        </is>
      </c>
      <c r="F29" s="10" t="inlineStr"/>
    </row>
    <row r="30">
      <c r="A30" s="9" t="inlineStr">
        <is>
          <t>화면 모양의 원본</t>
        </is>
      </c>
      <c r="B30" s="9" t="inlineStr">
        <is>
          <t>확정</t>
        </is>
      </c>
      <c r="C30" s="9" t="inlineStr">
        <is>
          <t>디자인 토큰</t>
        </is>
      </c>
      <c r="D30" s="9" t="inlineStr">
        <is>
          <t>design/tokens.json</t>
        </is>
      </c>
      <c r="E30" s="9" t="inlineStr">
        <is>
          <t>색(밝게/어둡게)·글자·간격·상태 색 대응표. 웹 CSS·Qt QSS를 생성</t>
        </is>
      </c>
      <c r="F30" s="10" t="inlineStr"/>
    </row>
    <row r="31">
      <c r="A31" s="9" t="inlineStr">
        <is>
          <t>웹 화면 기술</t>
        </is>
      </c>
      <c r="B31" s="9" t="inlineStr">
        <is>
          <t>확정</t>
        </is>
      </c>
      <c r="C31" s="9" t="inlineStr">
        <is>
          <t>Next.js</t>
        </is>
      </c>
      <c r="D31" s="9" t="inlineStr">
        <is>
          <t>web/</t>
        </is>
      </c>
      <c r="E31" s="9" t="inlineStr">
        <is>
          <t>Center 콘솔·서비스 앱 관리 콘솔. Streamlit 쓰지 않음</t>
        </is>
      </c>
      <c r="F31" s="10" t="inlineStr"/>
    </row>
    <row r="32">
      <c r="A32" s="9" t="inlineStr">
        <is>
          <t>환경변수 접두사</t>
        </is>
      </c>
      <c r="B32" s="9" t="inlineStr">
        <is>
          <t>확정</t>
        </is>
      </c>
      <c r="C32" s="9" t="inlineStr">
        <is>
          <t>CHK_</t>
        </is>
      </c>
      <c r="D32" s="9" t="inlineStr">
        <is>
          <t>CHK_&lt;구성요소&gt;__&lt;키&gt;</t>
        </is>
      </c>
      <c r="E32" s="9" t="inlineStr">
        <is>
          <t>ADR-0011</t>
        </is>
      </c>
      <c r="F32" s="10" t="inlineStr"/>
    </row>
    <row r="33">
      <c r="A33" s="9" t="inlineStr">
        <is>
          <t>제품 이름을 사용자 화면에도 쓰는가</t>
        </is>
      </c>
      <c r="B33" s="9" t="inlineStr">
        <is>
          <t>미정</t>
        </is>
      </c>
      <c r="C33" s="9" t="inlineStr">
        <is>
          <t>Chaeksas</t>
        </is>
      </c>
      <c r="D33" s="9" t="inlineStr"/>
      <c r="E33" s="9" t="inlineStr">
        <is>
          <t>저장소 이름은 확정</t>
        </is>
      </c>
      <c r="F33" s="10" t="inlineStr"/>
    </row>
  </sheetData>
  <autoFilter ref="A1:F3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8" customWidth="1" min="3" max="3"/>
    <col width="38" customWidth="1" min="4" max="4"/>
    <col width="32" customWidth="1" min="5" max="5"/>
  </cols>
  <sheetData>
    <row r="1">
      <c r="A1" s="8" t="inlineStr">
        <is>
          <t>구성요소</t>
        </is>
      </c>
      <c r="B1" s="8" t="inlineStr">
        <is>
          <t>기본 포트</t>
        </is>
      </c>
      <c r="C1" s="8" t="inlineStr">
        <is>
          <t>바인드</t>
        </is>
      </c>
      <c r="D1" s="8" t="inlineStr">
        <is>
          <t>바꾸는 환경변수</t>
        </is>
      </c>
      <c r="E1" s="8" t="inlineStr">
        <is>
          <t>비고</t>
        </is>
      </c>
    </row>
    <row r="2">
      <c r="A2" s="9" t="inlineStr">
        <is>
          <t>Center API</t>
        </is>
      </c>
      <c r="B2" s="9" t="n">
        <v>8800</v>
      </c>
      <c r="C2" s="9" t="inlineStr">
        <is>
          <t>서버</t>
        </is>
      </c>
      <c r="D2" s="9" t="inlineStr">
        <is>
          <t>CHK_CENTER__PORT</t>
        </is>
      </c>
      <c r="E2" s="9" t="inlineStr"/>
    </row>
    <row r="3">
      <c r="A3" s="9" t="inlineStr">
        <is>
          <t>Center 콘솔 (웹)</t>
        </is>
      </c>
      <c r="B3" s="9" t="n">
        <v>8501</v>
      </c>
      <c r="C3" s="9" t="inlineStr">
        <is>
          <t>서버</t>
        </is>
      </c>
      <c r="D3" s="9" t="inlineStr">
        <is>
          <t>CHK_CONSOLE__PORT</t>
        </is>
      </c>
      <c r="E3" s="9" t="inlineStr"/>
    </row>
    <row r="4">
      <c r="A4" s="9" t="inlineStr">
        <is>
          <t>UI 자동화 앱 API</t>
        </is>
      </c>
      <c r="B4" s="9" t="n">
        <v>8000</v>
      </c>
      <c r="C4" s="9" t="inlineStr">
        <is>
          <t>서버</t>
        </is>
      </c>
      <c r="D4" s="9" t="inlineStr">
        <is>
          <t>CHK_SVC_UI_AUTOMATION__PORT</t>
        </is>
      </c>
      <c r="E4" s="9" t="inlineStr"/>
    </row>
    <row r="5">
      <c r="A5" s="9" t="inlineStr">
        <is>
          <t>UI 자동화 앱 관리 콘솔</t>
        </is>
      </c>
      <c r="B5" s="9" t="n">
        <v>8001</v>
      </c>
      <c r="C5" s="9" t="inlineStr">
        <is>
          <t>서버</t>
        </is>
      </c>
      <c r="D5" s="9" t="inlineStr">
        <is>
          <t>CHK_SVC_UI_AUTOMATION__CONSOLE_PORT</t>
        </is>
      </c>
      <c r="E5" s="9" t="inlineStr"/>
    </row>
    <row r="6">
      <c r="A6" s="9" t="inlineStr">
        <is>
          <t>다음 서비스 앱</t>
        </is>
      </c>
      <c r="B6" s="9" t="n">
        <v>8010</v>
      </c>
      <c r="C6" s="9" t="inlineStr">
        <is>
          <t>서버</t>
        </is>
      </c>
      <c r="D6" s="9" t="inlineStr">
        <is>
          <t>CHK_SVC_&lt;앱 id&gt;__PORT</t>
        </is>
      </c>
      <c r="E6" s="9" t="inlineStr">
        <is>
          <t>8010부터 10씩 (API, 관리 콘솔 +1)</t>
        </is>
      </c>
    </row>
    <row r="7">
      <c r="A7" s="9" t="inlineStr">
        <is>
          <t>Worker 로컬 API</t>
        </is>
      </c>
      <c r="B7" s="9" t="n">
        <v>8899</v>
      </c>
      <c r="C7" s="9" t="inlineStr">
        <is>
          <t>127.0.0.1 고정</t>
        </is>
      </c>
      <c r="D7" s="9" t="inlineStr">
        <is>
          <t>CHK_WORKER__LOCAL_API__PORT</t>
        </is>
      </c>
      <c r="E7" s="9" t="inlineStr">
        <is>
          <t>Bot UI가 띄움. 주소는 바꿀 수 없음</t>
        </is>
      </c>
    </row>
    <row r="8">
      <c r="A8" s="9" t="inlineStr">
        <is>
          <t>Bot UI 메시지 수신</t>
        </is>
      </c>
      <c r="B8" s="9" t="n">
        <v>8790</v>
      </c>
      <c r="C8" s="9" t="inlineStr">
        <is>
          <t>127.0.0.1 기본</t>
        </is>
      </c>
      <c r="D8" s="9" t="inlineStr">
        <is>
          <t>CHK_BOT_UI__WEBHOOK__PORT</t>
        </is>
      </c>
      <c r="E8" s="9" t="inlineStr">
        <is>
          <t>ReceiveTask·메시지 시작 이벤트</t>
        </is>
      </c>
    </row>
    <row r="9">
      <c r="A9" s="9" t="inlineStr">
        <is>
          <t>Neo4j HTTP</t>
        </is>
      </c>
      <c r="B9" s="9" t="n">
        <v>7474</v>
      </c>
      <c r="C9" s="9" t="inlineStr">
        <is>
          <t>서버</t>
        </is>
      </c>
      <c r="D9" s="9" t="inlineStr">
        <is>
          <t>CHK_SVC_UI_AUTOMATION__NEO4J__URI</t>
        </is>
      </c>
      <c r="E9" s="9" t="inlineStr">
        <is>
          <t>Bolt 7687</t>
        </is>
      </c>
    </row>
    <row r="10">
      <c r="A10" s="9" t="inlineStr">
        <is>
          <t>Neo4j Bolt</t>
        </is>
      </c>
      <c r="B10" s="9" t="n">
        <v>7687</v>
      </c>
      <c r="C10" s="9" t="inlineStr">
        <is>
          <t>서버</t>
        </is>
      </c>
      <c r="D10" s="9" t="inlineStr">
        <is>
          <t>CHK_SVC_UI_AUTOMATION__NEO4J__URI</t>
        </is>
      </c>
      <c r="E10" s="9" t="inlineStr"/>
    </row>
    <row r="11">
      <c r="A11" s="9" t="inlineStr">
        <is>
          <t>Ollama</t>
        </is>
      </c>
      <c r="B11" s="9" t="n">
        <v>11434</v>
      </c>
      <c r="C11" s="9" t="inlineStr">
        <is>
          <t>로컬 또는 서버</t>
        </is>
      </c>
      <c r="D11" s="9" t="inlineStr">
        <is>
          <t>CHK_LLM__BASE_URL</t>
        </is>
      </c>
      <c r="E11" s="9" t="inlineStr"/>
    </row>
    <row r="12">
      <c r="A12" s="9" t="inlineStr">
        <is>
          <t>서버 실행기</t>
        </is>
      </c>
      <c r="B12" s="9" t="inlineStr">
        <is>
          <t>(없음)</t>
        </is>
      </c>
      <c r="C12" s="9" t="inlineStr">
        <is>
          <t>Center로 접속만</t>
        </is>
      </c>
      <c r="D12" s="9" t="inlineStr">
        <is>
          <t>CHK_SERVER_RUNNER__MAX_CONCURRENCY</t>
        </is>
      </c>
      <c r="E12" s="9" t="inlineStr">
        <is>
          <t>동시 실행 상한 기본 10</t>
        </is>
      </c>
    </row>
    <row r="14">
      <c r="A14" s="11" t="inlineStr">
        <is>
          <t>우선순위: 환경변수 &gt; .env &gt; 설정 파일 &gt; 기본값. 기본 포트가 프로토타입과 같으므로 한 PC에서 동시에 띄우면 한쪽을 바꾼다. 원본: docs/04-setup.md §6</t>
        </is>
      </c>
    </row>
  </sheetData>
  <autoFilter ref="A1:E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8" customWidth="1" min="2" max="2"/>
    <col width="14" customWidth="1" min="3" max="3"/>
    <col width="22" customWidth="1" min="4" max="4"/>
    <col width="10" customWidth="1" min="5" max="5"/>
    <col width="15" customWidth="1" min="6" max="6"/>
    <col width="34" customWidth="1" min="7" max="7"/>
    <col width="13" customWidth="1" min="8" max="8"/>
    <col width="34" customWidth="1" min="9" max="9"/>
  </cols>
  <sheetData>
    <row r="1">
      <c r="A1" s="8" t="inlineStr">
        <is>
          <t>ID</t>
        </is>
      </c>
      <c r="B1" s="8" t="inlineStr">
        <is>
          <t>화면</t>
        </is>
      </c>
      <c r="C1" s="8" t="inlineStr">
        <is>
          <t>앱</t>
        </is>
      </c>
      <c r="D1" s="8" t="inlineStr">
        <is>
          <t>주 사용자</t>
        </is>
      </c>
      <c r="E1" s="8" t="inlineStr">
        <is>
          <t>마일스톤</t>
        </is>
      </c>
      <c r="F1" s="8" t="inlineStr">
        <is>
          <t>출처</t>
        </is>
      </c>
      <c r="G1" s="8" t="inlineStr">
        <is>
          <t>설계 문서</t>
        </is>
      </c>
      <c r="H1" s="8" t="inlineStr">
        <is>
          <t>검토 (입력)</t>
        </is>
      </c>
      <c r="I1" s="8" t="inlineStr">
        <is>
          <t>메모 (입력)</t>
        </is>
      </c>
    </row>
    <row r="2">
      <c r="A2" s="9" t="inlineStr">
        <is>
          <t>STU-01</t>
        </is>
      </c>
      <c r="B2" s="9" t="inlineStr">
        <is>
          <t>메인 창</t>
        </is>
      </c>
      <c r="C2" s="9" t="inlineStr">
        <is>
          <t>Studio</t>
        </is>
      </c>
      <c r="D2" s="9" t="inlineStr">
        <is>
          <t>설계자</t>
        </is>
      </c>
      <c r="E2" s="9" t="inlineStr">
        <is>
          <t>M3</t>
        </is>
      </c>
      <c r="F2" s="9" t="inlineStr">
        <is>
          <t>프로토타입</t>
        </is>
      </c>
      <c r="G2" s="9" t="inlineStr">
        <is>
          <t>docs/06-screens/studio.md</t>
        </is>
      </c>
      <c r="H2" s="10" t="inlineStr"/>
      <c r="I2" s="10" t="inlineStr"/>
    </row>
    <row r="3">
      <c r="A3" s="9" t="inlineStr">
        <is>
          <t>STU-02</t>
        </is>
      </c>
      <c r="B3" s="9" t="inlineStr">
        <is>
          <t>BPM 프로세스 탐색기</t>
        </is>
      </c>
      <c r="C3" s="9" t="inlineStr">
        <is>
          <t>Studio</t>
        </is>
      </c>
      <c r="D3" s="9" t="inlineStr">
        <is>
          <t>설계자</t>
        </is>
      </c>
      <c r="E3" s="9" t="inlineStr">
        <is>
          <t>M3</t>
        </is>
      </c>
      <c r="F3" s="9" t="inlineStr">
        <is>
          <t>프로토타입</t>
        </is>
      </c>
      <c r="G3" s="9" t="inlineStr">
        <is>
          <t>docs/06-screens/studio.md</t>
        </is>
      </c>
      <c r="H3" s="10" t="inlineStr"/>
      <c r="I3" s="10" t="inlineStr"/>
    </row>
    <row r="4">
      <c r="A4" s="9" t="inlineStr">
        <is>
          <t>STU-03</t>
        </is>
      </c>
      <c r="B4" s="9" t="inlineStr">
        <is>
          <t>리소스 탐색기</t>
        </is>
      </c>
      <c r="C4" s="9" t="inlineStr">
        <is>
          <t>Studio</t>
        </is>
      </c>
      <c r="D4" s="9" t="inlineStr">
        <is>
          <t>설계자</t>
        </is>
      </c>
      <c r="E4" s="9" t="inlineStr">
        <is>
          <t>M4</t>
        </is>
      </c>
      <c r="F4" s="9" t="inlineStr">
        <is>
          <t>프로토타입 확장</t>
        </is>
      </c>
      <c r="G4" s="9" t="inlineStr">
        <is>
          <t>docs/06-screens/studio.md</t>
        </is>
      </c>
      <c r="H4" s="10" t="inlineStr"/>
      <c r="I4" s="10" t="inlineStr"/>
    </row>
    <row r="5">
      <c r="A5" s="9" t="inlineStr">
        <is>
          <t>STU-04</t>
        </is>
      </c>
      <c r="B5" s="9" t="inlineStr">
        <is>
          <t>속성 패널 (서비스 앱 키 요약)</t>
        </is>
      </c>
      <c r="C5" s="9" t="inlineStr">
        <is>
          <t>Studio</t>
        </is>
      </c>
      <c r="D5" s="9" t="inlineStr">
        <is>
          <t>설계자</t>
        </is>
      </c>
      <c r="E5" s="9" t="inlineStr">
        <is>
          <t>M3</t>
        </is>
      </c>
      <c r="F5" s="9" t="inlineStr">
        <is>
          <t>프로토타입 확장</t>
        </is>
      </c>
      <c r="G5" s="9" t="inlineStr">
        <is>
          <t>docs/06-screens/studio.md</t>
        </is>
      </c>
      <c r="H5" s="10" t="inlineStr"/>
      <c r="I5" s="10" t="inlineStr"/>
    </row>
    <row r="6">
      <c r="A6" s="9" t="inlineStr">
        <is>
          <t>STU-05</t>
        </is>
      </c>
      <c r="B6" s="9" t="inlineStr">
        <is>
          <t>새 BPM 프로세스</t>
        </is>
      </c>
      <c r="C6" s="9" t="inlineStr">
        <is>
          <t>Studio</t>
        </is>
      </c>
      <c r="D6" s="9" t="inlineStr">
        <is>
          <t>설계자</t>
        </is>
      </c>
      <c r="E6" s="9" t="inlineStr">
        <is>
          <t>M3</t>
        </is>
      </c>
      <c r="F6" s="9" t="inlineStr">
        <is>
          <t>프로토타입</t>
        </is>
      </c>
      <c r="G6" s="9" t="inlineStr">
        <is>
          <t>docs/06-screens/studio.md</t>
        </is>
      </c>
      <c r="H6" s="10" t="inlineStr"/>
      <c r="I6" s="10" t="inlineStr"/>
    </row>
    <row r="7">
      <c r="A7" s="9" t="inlineStr">
        <is>
          <t>STU-06</t>
        </is>
      </c>
      <c r="B7" s="9" t="inlineStr">
        <is>
          <t>BPM 프로세스 정보 (서비스 앱 키 참조)</t>
        </is>
      </c>
      <c r="C7" s="9" t="inlineStr">
        <is>
          <t>Studio</t>
        </is>
      </c>
      <c r="D7" s="9" t="inlineStr">
        <is>
          <t>설계자</t>
        </is>
      </c>
      <c r="E7" s="9" t="inlineStr">
        <is>
          <t>M3</t>
        </is>
      </c>
      <c r="F7" s="9" t="inlineStr">
        <is>
          <t>프로토타입 확장</t>
        </is>
      </c>
      <c r="G7" s="9" t="inlineStr">
        <is>
          <t>docs/06-screens/studio.md</t>
        </is>
      </c>
      <c r="H7" s="10" t="inlineStr"/>
      <c r="I7" s="10" t="inlineStr"/>
    </row>
    <row r="8">
      <c r="A8" s="9" t="inlineStr">
        <is>
          <t>STU-07</t>
        </is>
      </c>
      <c r="B8" s="9" t="inlineStr">
        <is>
          <t>시험 케이스</t>
        </is>
      </c>
      <c r="C8" s="9" t="inlineStr">
        <is>
          <t>Studio</t>
        </is>
      </c>
      <c r="D8" s="9" t="inlineStr">
        <is>
          <t>설계자</t>
        </is>
      </c>
      <c r="E8" s="9" t="inlineStr">
        <is>
          <t>M3</t>
        </is>
      </c>
      <c r="F8" s="9" t="inlineStr">
        <is>
          <t>프로토타입</t>
        </is>
      </c>
      <c r="G8" s="9" t="inlineStr">
        <is>
          <t>docs/06-screens/studio.md</t>
        </is>
      </c>
      <c r="H8" s="10" t="inlineStr"/>
      <c r="I8" s="10" t="inlineStr"/>
    </row>
    <row r="9">
      <c r="A9" s="9" t="inlineStr">
        <is>
          <t>STU-08</t>
        </is>
      </c>
      <c r="B9" s="9" t="inlineStr">
        <is>
          <t>실행 대화상자</t>
        </is>
      </c>
      <c r="C9" s="9" t="inlineStr">
        <is>
          <t>Studio</t>
        </is>
      </c>
      <c r="D9" s="9" t="inlineStr">
        <is>
          <t>설계자</t>
        </is>
      </c>
      <c r="E9" s="9" t="inlineStr">
        <is>
          <t>M3</t>
        </is>
      </c>
      <c r="F9" s="9" t="inlineStr">
        <is>
          <t>프로토타입</t>
        </is>
      </c>
      <c r="G9" s="9" t="inlineStr">
        <is>
          <t>docs/06-screens/studio.md</t>
        </is>
      </c>
      <c r="H9" s="10" t="inlineStr"/>
      <c r="I9" s="10" t="inlineStr"/>
    </row>
    <row r="10">
      <c r="A10" s="9" t="inlineStr">
        <is>
          <t>STU-09</t>
        </is>
      </c>
      <c r="B10" s="9" t="inlineStr">
        <is>
          <t>실행 표시와 결과</t>
        </is>
      </c>
      <c r="C10" s="9" t="inlineStr">
        <is>
          <t>Studio</t>
        </is>
      </c>
      <c r="D10" s="9" t="inlineStr">
        <is>
          <t>설계자</t>
        </is>
      </c>
      <c r="E10" s="9" t="inlineStr">
        <is>
          <t>M3</t>
        </is>
      </c>
      <c r="F10" s="9" t="inlineStr">
        <is>
          <t>프로토타입</t>
        </is>
      </c>
      <c r="G10" s="9" t="inlineStr">
        <is>
          <t>docs/06-screens/studio.md</t>
        </is>
      </c>
      <c r="H10" s="10" t="inlineStr"/>
      <c r="I10" s="10" t="inlineStr"/>
    </row>
    <row r="11">
      <c r="A11" s="9" t="inlineStr">
        <is>
          <t>STU-10</t>
        </is>
      </c>
      <c r="B11" s="9" t="inlineStr">
        <is>
          <t>설정</t>
        </is>
      </c>
      <c r="C11" s="9" t="inlineStr">
        <is>
          <t>Studio</t>
        </is>
      </c>
      <c r="D11" s="9" t="inlineStr">
        <is>
          <t>설계자</t>
        </is>
      </c>
      <c r="E11" s="9" t="inlineStr">
        <is>
          <t>M3</t>
        </is>
      </c>
      <c r="F11" s="9" t="inlineStr">
        <is>
          <t>프로토타입 확장</t>
        </is>
      </c>
      <c r="G11" s="9" t="inlineStr">
        <is>
          <t>docs/06-screens/studio.md</t>
        </is>
      </c>
      <c r="H11" s="10" t="inlineStr"/>
      <c r="I11" s="10" t="inlineStr"/>
    </row>
    <row r="12">
      <c r="A12" s="9" t="inlineStr">
        <is>
          <t>STU-11</t>
        </is>
      </c>
      <c r="B12" s="9" t="inlineStr">
        <is>
          <t>Center 공유 자원</t>
        </is>
      </c>
      <c r="C12" s="9" t="inlineStr">
        <is>
          <t>Studio</t>
        </is>
      </c>
      <c r="D12" s="9" t="inlineStr">
        <is>
          <t>설계자</t>
        </is>
      </c>
      <c r="E12" s="9" t="inlineStr">
        <is>
          <t>M5</t>
        </is>
      </c>
      <c r="F12" s="9" t="inlineStr">
        <is>
          <t>프로토타입</t>
        </is>
      </c>
      <c r="G12" s="9" t="inlineStr">
        <is>
          <t>docs/06-screens/studio.md</t>
        </is>
      </c>
      <c r="H12" s="10" t="inlineStr"/>
      <c r="I12" s="10" t="inlineStr"/>
    </row>
    <row r="13">
      <c r="A13" s="9" t="inlineStr">
        <is>
          <t>STU-12</t>
        </is>
      </c>
      <c r="B13" s="9" t="inlineStr">
        <is>
          <t>공유 BPM 프로세스 내보내기·올리기</t>
        </is>
      </c>
      <c r="C13" s="9" t="inlineStr">
        <is>
          <t>Studio</t>
        </is>
      </c>
      <c r="D13" s="9" t="inlineStr">
        <is>
          <t>설계자</t>
        </is>
      </c>
      <c r="E13" s="9" t="inlineStr">
        <is>
          <t>M5</t>
        </is>
      </c>
      <c r="F13" s="9" t="inlineStr">
        <is>
          <t>프로토타입</t>
        </is>
      </c>
      <c r="G13" s="9" t="inlineStr">
        <is>
          <t>docs/06-screens/studio.md</t>
        </is>
      </c>
      <c r="H13" s="10" t="inlineStr"/>
      <c r="I13" s="10" t="inlineStr"/>
    </row>
    <row r="14">
      <c r="A14" s="9" t="inlineStr">
        <is>
          <t>STU-13</t>
        </is>
      </c>
      <c r="B14" s="9" t="inlineStr">
        <is>
          <t>UI 태스크 편집기 (UI 자동화 확장 기여)</t>
        </is>
      </c>
      <c r="C14" s="9" t="inlineStr">
        <is>
          <t>Studio</t>
        </is>
      </c>
      <c r="D14" s="9" t="inlineStr">
        <is>
          <t>설계자</t>
        </is>
      </c>
      <c r="E14" s="9" t="inlineStr">
        <is>
          <t>M4</t>
        </is>
      </c>
      <c r="F14" s="9" t="inlineStr">
        <is>
          <t>신규</t>
        </is>
      </c>
      <c r="G14" s="9" t="inlineStr">
        <is>
          <t>docs/06-screens/studio.md</t>
        </is>
      </c>
      <c r="H14" s="10" t="inlineStr"/>
      <c r="I14" s="10" t="inlineStr"/>
    </row>
    <row r="15">
      <c r="A15" s="9" t="inlineStr">
        <is>
          <t>STU-14</t>
        </is>
      </c>
      <c r="B15" s="9" t="inlineStr">
        <is>
          <t>서비스 앱 태스크 편집기</t>
        </is>
      </c>
      <c r="C15" s="9" t="inlineStr">
        <is>
          <t>Studio</t>
        </is>
      </c>
      <c r="D15" s="9" t="inlineStr">
        <is>
          <t>설계자</t>
        </is>
      </c>
      <c r="E15" s="9" t="inlineStr">
        <is>
          <t>M5</t>
        </is>
      </c>
      <c r="F15" s="9" t="inlineStr">
        <is>
          <t>신규</t>
        </is>
      </c>
      <c r="G15" s="9" t="inlineStr">
        <is>
          <t>docs/06-screens/studio.md</t>
        </is>
      </c>
      <c r="H15" s="10" t="inlineStr"/>
      <c r="I15" s="10" t="inlineStr"/>
    </row>
    <row r="16">
      <c r="A16" s="9" t="inlineStr">
        <is>
          <t>STU-15</t>
        </is>
      </c>
      <c r="B16" s="9" t="inlineStr">
        <is>
          <t>확장</t>
        </is>
      </c>
      <c r="C16" s="9" t="inlineStr">
        <is>
          <t>Studio</t>
        </is>
      </c>
      <c r="D16" s="9" t="inlineStr">
        <is>
          <t>설계자</t>
        </is>
      </c>
      <c r="E16" s="9" t="inlineStr">
        <is>
          <t>M4</t>
        </is>
      </c>
      <c r="F16" s="9" t="inlineStr">
        <is>
          <t>신규</t>
        </is>
      </c>
      <c r="G16" s="9" t="inlineStr">
        <is>
          <t>docs/06-screens/studio.md</t>
        </is>
      </c>
      <c r="H16" s="10" t="inlineStr"/>
      <c r="I16" s="10" t="inlineStr"/>
    </row>
    <row r="17">
      <c r="A17" s="9" t="inlineStr">
        <is>
          <t>BUI-01</t>
        </is>
      </c>
      <c r="B17" s="9" t="inlineStr">
        <is>
          <t>트레이</t>
        </is>
      </c>
      <c r="C17" s="9" t="inlineStr">
        <is>
          <t>Bot UI</t>
        </is>
      </c>
      <c r="D17" s="9" t="inlineStr">
        <is>
          <t>현장 PC 사용자</t>
        </is>
      </c>
      <c r="E17" s="9" t="inlineStr">
        <is>
          <t>M2</t>
        </is>
      </c>
      <c r="F17" s="9" t="inlineStr">
        <is>
          <t>프로토타입 확장</t>
        </is>
      </c>
      <c r="G17" s="9" t="inlineStr">
        <is>
          <t>docs/06-screens/bot-ui.md</t>
        </is>
      </c>
      <c r="H17" s="10" t="inlineStr"/>
      <c r="I17" s="10" t="inlineStr"/>
    </row>
    <row r="18">
      <c r="A18" s="9" t="inlineStr">
        <is>
          <t>BUI-02</t>
        </is>
      </c>
      <c r="B18" s="9" t="inlineStr">
        <is>
          <t>메인 창</t>
        </is>
      </c>
      <c r="C18" s="9" t="inlineStr">
        <is>
          <t>Bot UI</t>
        </is>
      </c>
      <c r="D18" s="9" t="inlineStr">
        <is>
          <t>현장 PC 사용자</t>
        </is>
      </c>
      <c r="E18" s="9" t="inlineStr">
        <is>
          <t>M2</t>
        </is>
      </c>
      <c r="F18" s="9" t="inlineStr">
        <is>
          <t>프로토타입 확장</t>
        </is>
      </c>
      <c r="G18" s="9" t="inlineStr">
        <is>
          <t>docs/06-screens/bot-ui.md</t>
        </is>
      </c>
      <c r="H18" s="10" t="inlineStr"/>
      <c r="I18" s="10" t="inlineStr"/>
    </row>
    <row r="19">
      <c r="A19" s="9" t="inlineStr">
        <is>
          <t>BUI-03</t>
        </is>
      </c>
      <c r="B19" s="9" t="inlineStr">
        <is>
          <t>설정·등록</t>
        </is>
      </c>
      <c r="C19" s="9" t="inlineStr">
        <is>
          <t>Bot UI</t>
        </is>
      </c>
      <c r="D19" s="9" t="inlineStr">
        <is>
          <t>설치 담당자</t>
        </is>
      </c>
      <c r="E19" s="9" t="inlineStr">
        <is>
          <t>M2</t>
        </is>
      </c>
      <c r="F19" s="9" t="inlineStr">
        <is>
          <t>신규</t>
        </is>
      </c>
      <c r="G19" s="9" t="inlineStr">
        <is>
          <t>docs/06-screens/bot-ui.md</t>
        </is>
      </c>
      <c r="H19" s="10" t="inlineStr"/>
      <c r="I19" s="10" t="inlineStr"/>
    </row>
    <row r="20">
      <c r="A20" s="9" t="inlineStr">
        <is>
          <t>BUI-04</t>
        </is>
      </c>
      <c r="B20" s="9" t="inlineStr">
        <is>
          <t>Bot 탭 (실행·대기열·설치된 Bot)</t>
        </is>
      </c>
      <c r="C20" s="9" t="inlineStr">
        <is>
          <t>Bot UI</t>
        </is>
      </c>
      <c r="D20" s="9" t="inlineStr">
        <is>
          <t>현장 PC 사용자</t>
        </is>
      </c>
      <c r="E20" s="9" t="inlineStr">
        <is>
          <t>M4</t>
        </is>
      </c>
      <c r="F20" s="9" t="inlineStr">
        <is>
          <t>신규</t>
        </is>
      </c>
      <c r="G20" s="9" t="inlineStr">
        <is>
          <t>docs/06-screens/bot-ui.md</t>
        </is>
      </c>
      <c r="H20" s="10" t="inlineStr"/>
      <c r="I20" s="10" t="inlineStr"/>
    </row>
    <row r="21">
      <c r="A21" s="9" t="inlineStr">
        <is>
          <t>BUI-05</t>
        </is>
      </c>
      <c r="B21" s="9" t="inlineStr">
        <is>
          <t>알림</t>
        </is>
      </c>
      <c r="C21" s="9" t="inlineStr">
        <is>
          <t>Bot UI</t>
        </is>
      </c>
      <c r="D21" s="9" t="inlineStr">
        <is>
          <t>현장 PC 사용자</t>
        </is>
      </c>
      <c r="E21" s="9" t="inlineStr">
        <is>
          <t>M3</t>
        </is>
      </c>
      <c r="F21" s="9" t="inlineStr">
        <is>
          <t>프로토타입</t>
        </is>
      </c>
      <c r="G21" s="9" t="inlineStr">
        <is>
          <t>docs/06-screens/bot-ui.md</t>
        </is>
      </c>
      <c r="H21" s="10" t="inlineStr"/>
      <c r="I21" s="10" t="inlineStr"/>
    </row>
    <row r="22">
      <c r="A22" s="9" t="inlineStr">
        <is>
          <t>BUI-06</t>
        </is>
      </c>
      <c r="B22" s="9" t="inlineStr">
        <is>
          <t>UI 셀렉터 등록</t>
        </is>
      </c>
      <c r="C22" s="9" t="inlineStr">
        <is>
          <t>Bot UI</t>
        </is>
      </c>
      <c r="D22" s="9" t="inlineStr">
        <is>
          <t>UI 셀렉터 등록 담당자</t>
        </is>
      </c>
      <c r="E22" s="9" t="inlineStr">
        <is>
          <t>M4</t>
        </is>
      </c>
      <c r="F22" s="9" t="inlineStr">
        <is>
          <t>프로토타입</t>
        </is>
      </c>
      <c r="G22" s="9" t="inlineStr">
        <is>
          <t>docs/06-screens/bot-ui.md</t>
        </is>
      </c>
      <c r="H22" s="10" t="inlineStr"/>
      <c r="I22" s="10" t="inlineStr"/>
    </row>
    <row r="23">
      <c r="A23" s="9" t="inlineStr">
        <is>
          <t>BUI-07</t>
        </is>
      </c>
      <c r="B23" s="9" t="inlineStr">
        <is>
          <t>요소 계획 정보</t>
        </is>
      </c>
      <c r="C23" s="9" t="inlineStr">
        <is>
          <t>Bot UI</t>
        </is>
      </c>
      <c r="D23" s="9" t="inlineStr">
        <is>
          <t>UI 셀렉터 등록 담당자</t>
        </is>
      </c>
      <c r="E23" s="9" t="inlineStr">
        <is>
          <t>M4</t>
        </is>
      </c>
      <c r="F23" s="9" t="inlineStr">
        <is>
          <t>프로토타입</t>
        </is>
      </c>
      <c r="G23" s="9" t="inlineStr">
        <is>
          <t>docs/06-screens/bot-ui.md</t>
        </is>
      </c>
      <c r="H23" s="10" t="inlineStr"/>
      <c r="I23" s="10" t="inlineStr"/>
    </row>
    <row r="24">
      <c r="A24" s="9" t="inlineStr">
        <is>
          <t>BUI-08</t>
        </is>
      </c>
      <c r="B24" s="9" t="inlineStr">
        <is>
          <t>셀렉터 시험</t>
        </is>
      </c>
      <c r="C24" s="9" t="inlineStr">
        <is>
          <t>Bot UI</t>
        </is>
      </c>
      <c r="D24" s="9" t="inlineStr">
        <is>
          <t>UI 셀렉터 등록 담당자</t>
        </is>
      </c>
      <c r="E24" s="9" t="inlineStr">
        <is>
          <t>M4</t>
        </is>
      </c>
      <c r="F24" s="9" t="inlineStr">
        <is>
          <t>프로토타입</t>
        </is>
      </c>
      <c r="G24" s="9" t="inlineStr">
        <is>
          <t>docs/06-screens/bot-ui.md</t>
        </is>
      </c>
      <c r="H24" s="10" t="inlineStr"/>
      <c r="I24" s="10" t="inlineStr"/>
    </row>
    <row r="25">
      <c r="A25" s="9" t="inlineStr">
        <is>
          <t>BUI-09</t>
        </is>
      </c>
      <c r="B25" s="9" t="inlineStr">
        <is>
          <t>로컬 런타임 탭 (Worker 프로세스 등)</t>
        </is>
      </c>
      <c r="C25" s="9" t="inlineStr">
        <is>
          <t>Bot UI</t>
        </is>
      </c>
      <c r="D25" s="9" t="inlineStr">
        <is>
          <t>현장 PC 사용자</t>
        </is>
      </c>
      <c r="E25" s="9" t="inlineStr">
        <is>
          <t>M4</t>
        </is>
      </c>
      <c r="F25" s="9" t="inlineStr">
        <is>
          <t>신규</t>
        </is>
      </c>
      <c r="G25" s="9" t="inlineStr">
        <is>
          <t>docs/06-screens/bot-ui.md</t>
        </is>
      </c>
      <c r="H25" s="10" t="inlineStr"/>
      <c r="I25" s="10" t="inlineStr"/>
    </row>
    <row r="26">
      <c r="A26" s="9" t="inlineStr">
        <is>
          <t>BUI-10</t>
        </is>
      </c>
      <c r="B26" s="9" t="inlineStr">
        <is>
          <t>서비스 앱 키</t>
        </is>
      </c>
      <c r="C26" s="9" t="inlineStr">
        <is>
          <t>Bot UI</t>
        </is>
      </c>
      <c r="D26" s="9" t="inlineStr">
        <is>
          <t>설치 담당자</t>
        </is>
      </c>
      <c r="E26" s="9" t="inlineStr">
        <is>
          <t>M5</t>
        </is>
      </c>
      <c r="F26" s="9" t="inlineStr">
        <is>
          <t>신규</t>
        </is>
      </c>
      <c r="G26" s="9" t="inlineStr">
        <is>
          <t>docs/06-screens/bot-ui.md</t>
        </is>
      </c>
      <c r="H26" s="10" t="inlineStr"/>
      <c r="I26" s="10" t="inlineStr"/>
    </row>
    <row r="27">
      <c r="A27" s="9" t="inlineStr">
        <is>
          <t>BUI-11</t>
        </is>
      </c>
      <c r="B27" s="9" t="inlineStr">
        <is>
          <t>확장</t>
        </is>
      </c>
      <c r="C27" s="9" t="inlineStr">
        <is>
          <t>Bot UI</t>
        </is>
      </c>
      <c r="D27" s="9" t="inlineStr">
        <is>
          <t>설치 담당자</t>
        </is>
      </c>
      <c r="E27" s="9" t="inlineStr">
        <is>
          <t>M4</t>
        </is>
      </c>
      <c r="F27" s="9" t="inlineStr">
        <is>
          <t>신규</t>
        </is>
      </c>
      <c r="G27" s="9" t="inlineStr">
        <is>
          <t>docs/06-screens/bot-ui.md</t>
        </is>
      </c>
      <c r="H27" s="10" t="inlineStr"/>
      <c r="I27" s="10" t="inlineStr"/>
    </row>
    <row r="28">
      <c r="A28" s="9" t="inlineStr">
        <is>
          <t>CON-00</t>
        </is>
      </c>
      <c r="B28" s="9" t="inlineStr">
        <is>
          <t>공통 틀</t>
        </is>
      </c>
      <c r="C28" s="9" t="inlineStr">
        <is>
          <t>Center 콘솔</t>
        </is>
      </c>
      <c r="D28" s="9" t="inlineStr">
        <is>
          <t>모두</t>
        </is>
      </c>
      <c r="E28" s="9" t="inlineStr">
        <is>
          <t>M2</t>
        </is>
      </c>
      <c r="F28" s="9" t="inlineStr">
        <is>
          <t>프로토타입</t>
        </is>
      </c>
      <c r="G28" s="9" t="inlineStr">
        <is>
          <t>docs/06-screens/center-console.md</t>
        </is>
      </c>
      <c r="H28" s="10" t="inlineStr"/>
      <c r="I28" s="10" t="inlineStr"/>
    </row>
    <row r="29">
      <c r="A29" s="9" t="inlineStr">
        <is>
          <t>CON-01</t>
        </is>
      </c>
      <c r="B29" s="9" t="inlineStr">
        <is>
          <t>실행 로그</t>
        </is>
      </c>
      <c r="C29" s="9" t="inlineStr">
        <is>
          <t>Center 콘솔</t>
        </is>
      </c>
      <c r="D29" s="9" t="inlineStr">
        <is>
          <t>운영자</t>
        </is>
      </c>
      <c r="E29" s="9" t="inlineStr">
        <is>
          <t>M3</t>
        </is>
      </c>
      <c r="F29" s="9" t="inlineStr">
        <is>
          <t>프로토타입</t>
        </is>
      </c>
      <c r="G29" s="9" t="inlineStr">
        <is>
          <t>docs/06-screens/center-console.md</t>
        </is>
      </c>
      <c r="H29" s="10" t="inlineStr"/>
      <c r="I29" s="10" t="inlineStr"/>
    </row>
    <row r="30">
      <c r="A30" s="9" t="inlineStr">
        <is>
          <t>CON-02</t>
        </is>
      </c>
      <c r="B30" s="9" t="inlineStr">
        <is>
          <t>Bot 현황</t>
        </is>
      </c>
      <c r="C30" s="9" t="inlineStr">
        <is>
          <t>Center 콘솔</t>
        </is>
      </c>
      <c r="D30" s="9" t="inlineStr">
        <is>
          <t>운영자</t>
        </is>
      </c>
      <c r="E30" s="9" t="inlineStr">
        <is>
          <t>M3</t>
        </is>
      </c>
      <c r="F30" s="9" t="inlineStr">
        <is>
          <t>프로토타입</t>
        </is>
      </c>
      <c r="G30" s="9" t="inlineStr">
        <is>
          <t>docs/06-screens/center-console.md</t>
        </is>
      </c>
      <c r="H30" s="10" t="inlineStr"/>
      <c r="I30" s="10" t="inlineStr"/>
    </row>
    <row r="31">
      <c r="A31" s="9" t="inlineStr">
        <is>
          <t>CON-03</t>
        </is>
      </c>
      <c r="B31" s="9" t="inlineStr">
        <is>
          <t>Bot UI 현황</t>
        </is>
      </c>
      <c r="C31" s="9" t="inlineStr">
        <is>
          <t>Center 콘솔</t>
        </is>
      </c>
      <c r="D31" s="9" t="inlineStr">
        <is>
          <t>운영자</t>
        </is>
      </c>
      <c r="E31" s="9" t="inlineStr">
        <is>
          <t>M2</t>
        </is>
      </c>
      <c r="F31" s="9" t="inlineStr">
        <is>
          <t>프로토타입 확장</t>
        </is>
      </c>
      <c r="G31" s="9" t="inlineStr">
        <is>
          <t>docs/06-screens/center-console.md</t>
        </is>
      </c>
      <c r="H31" s="10" t="inlineStr"/>
      <c r="I31" s="10" t="inlineStr"/>
    </row>
    <row r="32">
      <c r="A32" s="9" t="inlineStr">
        <is>
          <t>CON-04</t>
        </is>
      </c>
      <c r="B32" s="9" t="inlineStr">
        <is>
          <t>결재함</t>
        </is>
      </c>
      <c r="C32" s="9" t="inlineStr">
        <is>
          <t>Center 콘솔</t>
        </is>
      </c>
      <c r="D32" s="9" t="inlineStr">
        <is>
          <t>결재자</t>
        </is>
      </c>
      <c r="E32" s="9" t="inlineStr">
        <is>
          <t>M5</t>
        </is>
      </c>
      <c r="F32" s="9" t="inlineStr">
        <is>
          <t>프로토타입</t>
        </is>
      </c>
      <c r="G32" s="9" t="inlineStr">
        <is>
          <t>docs/06-screens/center-console.md</t>
        </is>
      </c>
      <c r="H32" s="10" t="inlineStr"/>
      <c r="I32" s="10" t="inlineStr"/>
    </row>
    <row r="33">
      <c r="A33" s="9" t="inlineStr">
        <is>
          <t>CON-05</t>
        </is>
      </c>
      <c r="B33" s="9" t="inlineStr">
        <is>
          <t>작업 지시</t>
        </is>
      </c>
      <c r="C33" s="9" t="inlineStr">
        <is>
          <t>Center 콘솔</t>
        </is>
      </c>
      <c r="D33" s="9" t="inlineStr">
        <is>
          <t>운영자</t>
        </is>
      </c>
      <c r="E33" s="9" t="inlineStr">
        <is>
          <t>M5</t>
        </is>
      </c>
      <c r="F33" s="9" t="inlineStr">
        <is>
          <t>프로토타입 확장</t>
        </is>
      </c>
      <c r="G33" s="9" t="inlineStr">
        <is>
          <t>docs/06-screens/center-console.md</t>
        </is>
      </c>
      <c r="H33" s="10" t="inlineStr"/>
      <c r="I33" s="10" t="inlineStr"/>
    </row>
    <row r="34">
      <c r="A34" s="9" t="inlineStr">
        <is>
          <t>CON-06</t>
        </is>
      </c>
      <c r="B34" s="9" t="inlineStr">
        <is>
          <t>공통 패키지</t>
        </is>
      </c>
      <c r="C34" s="9" t="inlineStr">
        <is>
          <t>Center 콘솔</t>
        </is>
      </c>
      <c r="D34" s="9" t="inlineStr">
        <is>
          <t>운영자</t>
        </is>
      </c>
      <c r="E34" s="9" t="inlineStr">
        <is>
          <t>M5</t>
        </is>
      </c>
      <c r="F34" s="9" t="inlineStr">
        <is>
          <t>프로토타입</t>
        </is>
      </c>
      <c r="G34" s="9" t="inlineStr">
        <is>
          <t>docs/06-screens/center-console.md</t>
        </is>
      </c>
      <c r="H34" s="10" t="inlineStr"/>
      <c r="I34" s="10" t="inlineStr"/>
    </row>
    <row r="35">
      <c r="A35" s="9" t="inlineStr">
        <is>
          <t>CON-07</t>
        </is>
      </c>
      <c r="B35" s="9" t="inlineStr">
        <is>
          <t>리소스</t>
        </is>
      </c>
      <c r="C35" s="9" t="inlineStr">
        <is>
          <t>Center 콘솔</t>
        </is>
      </c>
      <c r="D35" s="9" t="inlineStr">
        <is>
          <t>운영자</t>
        </is>
      </c>
      <c r="E35" s="9" t="inlineStr">
        <is>
          <t>M5</t>
        </is>
      </c>
      <c r="F35" s="9" t="inlineStr">
        <is>
          <t>신규</t>
        </is>
      </c>
      <c r="G35" s="9" t="inlineStr">
        <is>
          <t>docs/06-screens/center-console.md</t>
        </is>
      </c>
      <c r="H35" s="10" t="inlineStr"/>
      <c r="I35" s="10" t="inlineStr"/>
    </row>
    <row r="36">
      <c r="A36" s="9" t="inlineStr">
        <is>
          <t>CON-11</t>
        </is>
      </c>
      <c r="B36" s="9" t="inlineStr">
        <is>
          <t>Center API 키</t>
        </is>
      </c>
      <c r="C36" s="9" t="inlineStr">
        <is>
          <t>Center 콘솔</t>
        </is>
      </c>
      <c r="D36" s="9" t="inlineStr">
        <is>
          <t>운영자</t>
        </is>
      </c>
      <c r="E36" s="9" t="inlineStr">
        <is>
          <t>M2</t>
        </is>
      </c>
      <c r="F36" s="9" t="inlineStr">
        <is>
          <t>신규</t>
        </is>
      </c>
      <c r="G36" s="9" t="inlineStr">
        <is>
          <t>docs/06-screens/center-console.md</t>
        </is>
      </c>
      <c r="H36" s="10" t="inlineStr"/>
      <c r="I36" s="10" t="inlineStr"/>
    </row>
    <row r="37">
      <c r="A37" s="9" t="inlineStr">
        <is>
          <t>CON-12</t>
        </is>
      </c>
      <c r="B37" s="9" t="inlineStr">
        <is>
          <t>서버 실행</t>
        </is>
      </c>
      <c r="C37" s="9" t="inlineStr">
        <is>
          <t>Center 콘솔</t>
        </is>
      </c>
      <c r="D37" s="9" t="inlineStr">
        <is>
          <t>운영자</t>
        </is>
      </c>
      <c r="E37" s="9" t="inlineStr">
        <is>
          <t>M7</t>
        </is>
      </c>
      <c r="F37" s="9" t="inlineStr">
        <is>
          <t>신규</t>
        </is>
      </c>
      <c r="G37" s="9" t="inlineStr">
        <is>
          <t>docs/06-screens/center-console.md</t>
        </is>
      </c>
      <c r="H37" s="10" t="inlineStr"/>
      <c r="I37" s="10" t="inlineStr"/>
    </row>
    <row r="38">
      <c r="A38" s="9" t="inlineStr">
        <is>
          <t>SVC-00</t>
        </is>
      </c>
      <c r="B38" s="9" t="inlineStr">
        <is>
          <t>공통 틀</t>
        </is>
      </c>
      <c r="C38" s="9" t="inlineStr">
        <is>
          <t>서비스 앱 관리 콘솔</t>
        </is>
      </c>
      <c r="D38" s="9" t="inlineStr">
        <is>
          <t>서비스 앱 관리자</t>
        </is>
      </c>
      <c r="E38" s="9" t="inlineStr">
        <is>
          <t>M2</t>
        </is>
      </c>
      <c r="F38" s="9" t="inlineStr">
        <is>
          <t>신규</t>
        </is>
      </c>
      <c r="G38" s="9" t="inlineStr">
        <is>
          <t>docs/06-screens/service-app-console.md</t>
        </is>
      </c>
      <c r="H38" s="10" t="inlineStr"/>
      <c r="I38" s="10" t="inlineStr"/>
    </row>
    <row r="39">
      <c r="A39" s="9" t="inlineStr">
        <is>
          <t>SVC-01</t>
        </is>
      </c>
      <c r="B39" s="9" t="inlineStr">
        <is>
          <t>상태</t>
        </is>
      </c>
      <c r="C39" s="9" t="inlineStr">
        <is>
          <t>서비스 앱 관리 콘솔</t>
        </is>
      </c>
      <c r="D39" s="9" t="inlineStr">
        <is>
          <t>서비스 앱 관리자</t>
        </is>
      </c>
      <c r="E39" s="9" t="inlineStr">
        <is>
          <t>M2</t>
        </is>
      </c>
      <c r="F39" s="9" t="inlineStr">
        <is>
          <t>신규</t>
        </is>
      </c>
      <c r="G39" s="9" t="inlineStr">
        <is>
          <t>docs/06-screens/service-app-console.md</t>
        </is>
      </c>
      <c r="H39" s="10" t="inlineStr"/>
      <c r="I39" s="10" t="inlineStr"/>
    </row>
    <row r="40">
      <c r="A40" s="9" t="inlineStr">
        <is>
          <t>SVC-02</t>
        </is>
      </c>
      <c r="B40" s="9" t="inlineStr">
        <is>
          <t>API 키</t>
        </is>
      </c>
      <c r="C40" s="9" t="inlineStr">
        <is>
          <t>서비스 앱 관리 콘솔</t>
        </is>
      </c>
      <c r="D40" s="9" t="inlineStr">
        <is>
          <t>서비스 앱 관리자</t>
        </is>
      </c>
      <c r="E40" s="9" t="inlineStr">
        <is>
          <t>M2</t>
        </is>
      </c>
      <c r="F40" s="9" t="inlineStr">
        <is>
          <t>신규</t>
        </is>
      </c>
      <c r="G40" s="9" t="inlineStr">
        <is>
          <t>docs/06-screens/service-app-console.md</t>
        </is>
      </c>
      <c r="H40" s="10" t="inlineStr"/>
      <c r="I40" s="10" t="inlineStr"/>
    </row>
    <row r="41">
      <c r="A41" s="9" t="inlineStr">
        <is>
          <t>SVC-03</t>
        </is>
      </c>
      <c r="B41" s="9" t="inlineStr">
        <is>
          <t>사용 기록</t>
        </is>
      </c>
      <c r="C41" s="9" t="inlineStr">
        <is>
          <t>서비스 앱 관리 콘솔</t>
        </is>
      </c>
      <c r="D41" s="9" t="inlineStr">
        <is>
          <t>서비스 앱 관리자</t>
        </is>
      </c>
      <c r="E41" s="9" t="inlineStr">
        <is>
          <t>M5</t>
        </is>
      </c>
      <c r="F41" s="9" t="inlineStr">
        <is>
          <t>신규</t>
        </is>
      </c>
      <c r="G41" s="9" t="inlineStr">
        <is>
          <t>docs/06-screens/service-app-console.md</t>
        </is>
      </c>
      <c r="H41" s="10" t="inlineStr"/>
      <c r="I41" s="10" t="inlineStr"/>
    </row>
    <row r="42">
      <c r="A42" s="9" t="inlineStr">
        <is>
          <t>UIA-01</t>
        </is>
      </c>
      <c r="B42" s="9" t="inlineStr">
        <is>
          <t>개요</t>
        </is>
      </c>
      <c r="C42" s="9" t="inlineStr">
        <is>
          <t>서비스 앱 관리 콘솔</t>
        </is>
      </c>
      <c r="D42" s="9" t="inlineStr">
        <is>
          <t>서비스 앱 관리자</t>
        </is>
      </c>
      <c r="E42" s="9" t="inlineStr">
        <is>
          <t>M4</t>
        </is>
      </c>
      <c r="F42" s="9" t="inlineStr">
        <is>
          <t>프로토타입</t>
        </is>
      </c>
      <c r="G42" s="9" t="inlineStr">
        <is>
          <t>docs/06-screens/service-app-console.md</t>
        </is>
      </c>
      <c r="H42" s="10" t="inlineStr"/>
      <c r="I42" s="10" t="inlineStr"/>
    </row>
    <row r="43">
      <c r="A43" s="9" t="inlineStr">
        <is>
          <t>UIA-02</t>
        </is>
      </c>
      <c r="B43" s="9" t="inlineStr">
        <is>
          <t>셀렉터</t>
        </is>
      </c>
      <c r="C43" s="9" t="inlineStr">
        <is>
          <t>서비스 앱 관리 콘솔</t>
        </is>
      </c>
      <c r="D43" s="9" t="inlineStr">
        <is>
          <t>UI 셀렉터 등록 담당자</t>
        </is>
      </c>
      <c r="E43" s="9" t="inlineStr">
        <is>
          <t>M4</t>
        </is>
      </c>
      <c r="F43" s="9" t="inlineStr">
        <is>
          <t>프로토타입</t>
        </is>
      </c>
      <c r="G43" s="9" t="inlineStr">
        <is>
          <t>docs/06-screens/service-app-console.md</t>
        </is>
      </c>
      <c r="H43" s="10" t="inlineStr"/>
      <c r="I43" s="10" t="inlineStr"/>
    </row>
    <row r="44">
      <c r="A44" s="9" t="inlineStr">
        <is>
          <t>UIA-03</t>
        </is>
      </c>
      <c r="B44" s="9" t="inlineStr">
        <is>
          <t>모니터링</t>
        </is>
      </c>
      <c r="C44" s="9" t="inlineStr">
        <is>
          <t>서비스 앱 관리 콘솔</t>
        </is>
      </c>
      <c r="D44" s="9" t="inlineStr">
        <is>
          <t>서비스 앱 관리자</t>
        </is>
      </c>
      <c r="E44" s="9" t="inlineStr">
        <is>
          <t>M4</t>
        </is>
      </c>
      <c r="F44" s="9" t="inlineStr">
        <is>
          <t>프로토타입</t>
        </is>
      </c>
      <c r="G44" s="9" t="inlineStr">
        <is>
          <t>docs/06-screens/service-app-console.md</t>
        </is>
      </c>
      <c r="H44" s="10" t="inlineStr"/>
      <c r="I44" s="10" t="inlineStr"/>
    </row>
    <row r="45">
      <c r="A45" s="9" t="inlineStr">
        <is>
          <t>CMN-01</t>
        </is>
      </c>
      <c r="B45" s="9" t="inlineStr">
        <is>
          <t>결재 / 확인 창</t>
        </is>
      </c>
      <c r="C45" s="9" t="inlineStr">
        <is>
          <t>Studio, Bot UI</t>
        </is>
      </c>
      <c r="D45" s="9" t="inlineStr">
        <is>
          <t>결재자, 현장 PC 사용자</t>
        </is>
      </c>
      <c r="E45" s="9" t="inlineStr">
        <is>
          <t>M3</t>
        </is>
      </c>
      <c r="F45" s="9" t="inlineStr">
        <is>
          <t>프로토타입</t>
        </is>
      </c>
      <c r="G45" s="9" t="inlineStr">
        <is>
          <t>docs/06-screens/README.md</t>
        </is>
      </c>
      <c r="H45" s="10" t="inlineStr"/>
      <c r="I45" s="10" t="inlineStr"/>
    </row>
  </sheetData>
  <autoFilter ref="A1:I45"/>
  <dataValidations count="1">
    <dataValidation sqref="H2:H45" showDropDown="0" showInputMessage="0" showErrorMessage="0" allowBlank="1" type="list">
      <formula1>"검토 전,확인,수정 필요,보류"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6" customWidth="1" min="3" max="3"/>
    <col width="9" customWidth="1" min="4" max="4"/>
    <col width="9" customWidth="1" min="5" max="5"/>
    <col width="26" customWidth="1" min="6" max="6"/>
    <col width="9" customWidth="1" min="7" max="7"/>
    <col width="12" customWidth="1" min="8" max="8"/>
    <col width="40" customWidth="1" min="9" max="9"/>
  </cols>
  <sheetData>
    <row r="1">
      <c r="A1" s="8" t="inlineStr">
        <is>
          <t>id</t>
        </is>
      </c>
      <c r="B1" s="8" t="inlineStr">
        <is>
          <t>이름</t>
        </is>
      </c>
      <c r="C1" s="8" t="inlineStr">
        <is>
          <t>분야</t>
        </is>
      </c>
      <c r="D1" s="8" t="inlineStr">
        <is>
          <t>실행 위치</t>
        </is>
      </c>
      <c r="E1" s="8" t="inlineStr">
        <is>
          <t>처음 통과</t>
        </is>
      </c>
      <c r="F1" s="8" t="inlineStr">
        <is>
          <t>확장</t>
        </is>
      </c>
      <c r="G1" s="8" t="inlineStr">
        <is>
          <t>케이스 수</t>
        </is>
      </c>
      <c r="H1" s="8" t="inlineStr">
        <is>
          <t>검토 (입력)</t>
        </is>
      </c>
      <c r="I1" s="8" t="inlineStr">
        <is>
          <t>의견 (입력)</t>
        </is>
      </c>
    </row>
    <row r="2">
      <c r="A2" s="9" t="inlineStr">
        <is>
          <t>BX-01</t>
        </is>
      </c>
      <c r="B2" s="9" t="inlineStr">
        <is>
          <t>월별 청구서 대사</t>
        </is>
      </c>
      <c r="C2" s="9" t="inlineStr">
        <is>
          <t>재무·회계</t>
        </is>
      </c>
      <c r="D2" s="9" t="inlineStr">
        <is>
          <t>서버</t>
        </is>
      </c>
      <c r="E2" s="9" t="inlineStr">
        <is>
          <t>M3</t>
        </is>
      </c>
      <c r="F2" s="9" t="inlineStr">
        <is>
          <t>—</t>
        </is>
      </c>
      <c r="G2" s="9" t="n">
        <v>4</v>
      </c>
      <c r="H2" s="10" t="inlineStr">
        <is>
          <t>검토 전</t>
        </is>
      </c>
      <c r="I2" s="10" t="inlineStr"/>
    </row>
    <row r="3">
      <c r="A3" s="9" t="inlineStr">
        <is>
          <t>BX-02</t>
        </is>
      </c>
      <c r="B3" s="9" t="inlineStr">
        <is>
          <t>매일 아침 환율 점검 보고</t>
        </is>
      </c>
      <c r="C3" s="9" t="inlineStr">
        <is>
          <t>재무·회계</t>
        </is>
      </c>
      <c r="D3" s="9" t="inlineStr">
        <is>
          <t>서버</t>
        </is>
      </c>
      <c r="E3" s="9" t="inlineStr">
        <is>
          <t>M3</t>
        </is>
      </c>
      <c r="F3" s="9" t="inlineStr">
        <is>
          <t>—</t>
        </is>
      </c>
      <c r="G3" s="9" t="n">
        <v>4</v>
      </c>
      <c r="H3" s="10" t="inlineStr">
        <is>
          <t>검토 전</t>
        </is>
      </c>
      <c r="I3" s="10" t="inlineStr"/>
    </row>
    <row r="4">
      <c r="A4" s="9" t="inlineStr">
        <is>
          <t>BX-03</t>
        </is>
      </c>
      <c r="B4" s="9" t="inlineStr">
        <is>
          <t>지출 결재</t>
        </is>
      </c>
      <c r="C4" s="9" t="inlineStr">
        <is>
          <t>재무·회계</t>
        </is>
      </c>
      <c r="D4" s="9" t="inlineStr">
        <is>
          <t>서버</t>
        </is>
      </c>
      <c r="E4" s="9" t="inlineStr">
        <is>
          <t>M3</t>
        </is>
      </c>
      <c r="F4" s="9" t="inlineStr">
        <is>
          <t>—</t>
        </is>
      </c>
      <c r="G4" s="9" t="n">
        <v>4</v>
      </c>
      <c r="H4" s="10" t="inlineStr">
        <is>
          <t>검토 전</t>
        </is>
      </c>
      <c r="I4" s="10" t="inlineStr"/>
    </row>
    <row r="5">
      <c r="A5" s="9" t="inlineStr">
        <is>
          <t>BX-04</t>
        </is>
      </c>
      <c r="B5" s="9" t="inlineStr">
        <is>
          <t>세금계산서 발행 (포털 → 회계 프로그램)</t>
        </is>
      </c>
      <c r="C5" s="9" t="inlineStr">
        <is>
          <t>재무·회계</t>
        </is>
      </c>
      <c r="D5" s="9" t="inlineStr">
        <is>
          <t>PC</t>
        </is>
      </c>
      <c r="E5" s="9" t="inlineStr">
        <is>
          <t>M4</t>
        </is>
      </c>
      <c r="F5" s="9" t="inlineStr">
        <is>
          <t>ui-automation</t>
        </is>
      </c>
      <c r="G5" s="9" t="n">
        <v>3</v>
      </c>
      <c r="H5" s="10" t="inlineStr">
        <is>
          <t>검토 전</t>
        </is>
      </c>
      <c r="I5" s="10" t="inlineStr"/>
    </row>
    <row r="6">
      <c r="A6" s="9" t="inlineStr">
        <is>
          <t>BX-05</t>
        </is>
      </c>
      <c r="B6" s="9" t="inlineStr">
        <is>
          <t>월말 마감 체크리스트</t>
        </is>
      </c>
      <c r="C6" s="9" t="inlineStr">
        <is>
          <t>재무·회계</t>
        </is>
      </c>
      <c r="D6" s="9" t="inlineStr">
        <is>
          <t>서버</t>
        </is>
      </c>
      <c r="E6" s="9" t="inlineStr">
        <is>
          <t>M3</t>
        </is>
      </c>
      <c r="F6" s="9" t="inlineStr">
        <is>
          <t>—</t>
        </is>
      </c>
      <c r="G6" s="9" t="n">
        <v>2</v>
      </c>
      <c r="H6" s="10" t="inlineStr">
        <is>
          <t>검토 전</t>
        </is>
      </c>
      <c r="I6" s="10" t="inlineStr"/>
    </row>
    <row r="7">
      <c r="A7" s="9" t="inlineStr">
        <is>
          <t>BX-06</t>
        </is>
      </c>
      <c r="B7" s="9" t="inlineStr">
        <is>
          <t>다건 거래처 신용 조회</t>
        </is>
      </c>
      <c r="C7" s="9" t="inlineStr">
        <is>
          <t>재무·회계</t>
        </is>
      </c>
      <c r="D7" s="9" t="inlineStr">
        <is>
          <t>서버</t>
        </is>
      </c>
      <c r="E7" s="9" t="inlineStr">
        <is>
          <t>M5</t>
        </is>
      </c>
      <c r="F7" s="9" t="inlineStr">
        <is>
          <t>ext-credit</t>
        </is>
      </c>
      <c r="G7" s="9" t="n">
        <v>1</v>
      </c>
      <c r="H7" s="10" t="inlineStr">
        <is>
          <t>검토 전</t>
        </is>
      </c>
      <c r="I7" s="10" t="inlineStr"/>
    </row>
    <row r="8">
      <c r="A8" s="9" t="inlineStr">
        <is>
          <t>BX-07</t>
        </is>
      </c>
      <c r="B8" s="9" t="inlineStr">
        <is>
          <t>법인카드 사용 내역 정리</t>
        </is>
      </c>
      <c r="C8" s="9" t="inlineStr">
        <is>
          <t>재무·회계</t>
        </is>
      </c>
      <c r="D8" s="9" t="inlineStr">
        <is>
          <t>서버</t>
        </is>
      </c>
      <c r="E8" s="9" t="inlineStr">
        <is>
          <t>M3</t>
        </is>
      </c>
      <c r="F8" s="9" t="inlineStr">
        <is>
          <t>—</t>
        </is>
      </c>
      <c r="G8" s="9" t="n">
        <v>2</v>
      </c>
      <c r="H8" s="10" t="inlineStr">
        <is>
          <t>검토 전</t>
        </is>
      </c>
      <c r="I8" s="10" t="inlineStr"/>
    </row>
    <row r="9">
      <c r="A9" s="9" t="inlineStr">
        <is>
          <t>BX-08</t>
        </is>
      </c>
      <c r="B9" s="9" t="inlineStr">
        <is>
          <t>매출채권 연체 독촉</t>
        </is>
      </c>
      <c r="C9" s="9" t="inlineStr">
        <is>
          <t>재무·회계</t>
        </is>
      </c>
      <c r="D9" s="9" t="inlineStr">
        <is>
          <t>서버</t>
        </is>
      </c>
      <c r="E9" s="9" t="inlineStr">
        <is>
          <t>M5</t>
        </is>
      </c>
      <c r="F9" s="9" t="inlineStr">
        <is>
          <t>erp</t>
        </is>
      </c>
      <c r="G9" s="9" t="n">
        <v>2</v>
      </c>
      <c r="H9" s="10" t="inlineStr">
        <is>
          <t>검토 전</t>
        </is>
      </c>
      <c r="I9" s="10" t="inlineStr"/>
    </row>
    <row r="10">
      <c r="A10" s="9" t="inlineStr">
        <is>
          <t>BX-10</t>
        </is>
      </c>
      <c r="B10" s="9" t="inlineStr">
        <is>
          <t>신규 거래처 등록 심사</t>
        </is>
      </c>
      <c r="C10" s="9" t="inlineStr">
        <is>
          <t>구매·영업·물류</t>
        </is>
      </c>
      <c r="D10" s="9" t="inlineStr">
        <is>
          <t>서버</t>
        </is>
      </c>
      <c r="E10" s="9" t="inlineStr">
        <is>
          <t>M5</t>
        </is>
      </c>
      <c r="F10" s="9" t="inlineStr">
        <is>
          <t>ext-credit, compliance, erp</t>
        </is>
      </c>
      <c r="G10" s="9" t="n">
        <v>2</v>
      </c>
      <c r="H10" s="10" t="inlineStr">
        <is>
          <t>검토 전</t>
        </is>
      </c>
      <c r="I10" s="10" t="inlineStr"/>
    </row>
    <row r="11">
      <c r="A11" s="9" t="inlineStr">
        <is>
          <t>BX-11</t>
        </is>
      </c>
      <c r="B11" s="9" t="inlineStr">
        <is>
          <t>입찰 접수와 마감</t>
        </is>
      </c>
      <c r="C11" s="9" t="inlineStr">
        <is>
          <t>구매·영업·물류</t>
        </is>
      </c>
      <c r="D11" s="9" t="inlineStr">
        <is>
          <t>서버</t>
        </is>
      </c>
      <c r="E11" s="9" t="inlineStr">
        <is>
          <t>M3</t>
        </is>
      </c>
      <c r="F11" s="9" t="inlineStr">
        <is>
          <t>—</t>
        </is>
      </c>
      <c r="G11" s="9" t="n">
        <v>3</v>
      </c>
      <c r="H11" s="10" t="inlineStr">
        <is>
          <t>검토 전</t>
        </is>
      </c>
      <c r="I11" s="10" t="inlineStr"/>
    </row>
    <row r="12">
      <c r="A12" s="9" t="inlineStr">
        <is>
          <t>BX-12</t>
        </is>
      </c>
      <c r="B12" s="9" t="inlineStr">
        <is>
          <t>배송비 계산</t>
        </is>
      </c>
      <c r="C12" s="9" t="inlineStr">
        <is>
          <t>구매·영업·물류</t>
        </is>
      </c>
      <c r="D12" s="9" t="inlineStr">
        <is>
          <t>서버</t>
        </is>
      </c>
      <c r="E12" s="9" t="inlineStr">
        <is>
          <t>M3</t>
        </is>
      </c>
      <c r="F12" s="9" t="inlineStr">
        <is>
          <t>—</t>
        </is>
      </c>
      <c r="G12" s="9" t="n">
        <v>4</v>
      </c>
      <c r="H12" s="10" t="inlineStr">
        <is>
          <t>검토 전</t>
        </is>
      </c>
      <c r="I12" s="10" t="inlineStr"/>
    </row>
    <row r="13">
      <c r="A13" s="9" t="inlineStr">
        <is>
          <t>BX-13</t>
        </is>
      </c>
      <c r="B13" s="9" t="inlineStr">
        <is>
          <t>반품 처리</t>
        </is>
      </c>
      <c r="C13" s="9" t="inlineStr">
        <is>
          <t>구매·영업·물류</t>
        </is>
      </c>
      <c r="D13" s="9" t="inlineStr">
        <is>
          <t>서버</t>
        </is>
      </c>
      <c r="E13" s="9" t="inlineStr">
        <is>
          <t>M5</t>
        </is>
      </c>
      <c r="F13" s="9" t="inlineStr">
        <is>
          <t>shop</t>
        </is>
      </c>
      <c r="G13" s="9" t="n">
        <v>3</v>
      </c>
      <c r="H13" s="10" t="inlineStr">
        <is>
          <t>검토 전</t>
        </is>
      </c>
      <c r="I13" s="10" t="inlineStr"/>
    </row>
    <row r="14">
      <c r="A14" s="9" t="inlineStr">
        <is>
          <t>BX-14</t>
        </is>
      </c>
      <c r="B14" s="9" t="inlineStr">
        <is>
          <t>공급사 포털 주문 내역 수집</t>
        </is>
      </c>
      <c r="C14" s="9" t="inlineStr">
        <is>
          <t>구매·영업·물류</t>
        </is>
      </c>
      <c r="D14" s="9" t="inlineStr">
        <is>
          <t>PC</t>
        </is>
      </c>
      <c r="E14" s="9" t="inlineStr">
        <is>
          <t>M4</t>
        </is>
      </c>
      <c r="F14" s="9" t="inlineStr">
        <is>
          <t>ui-automation</t>
        </is>
      </c>
      <c r="G14" s="9" t="n">
        <v>3</v>
      </c>
      <c r="H14" s="10" t="inlineStr">
        <is>
          <t>검토 전</t>
        </is>
      </c>
      <c r="I14" s="10" t="inlineStr"/>
    </row>
    <row r="15">
      <c r="A15" s="9" t="inlineStr">
        <is>
          <t>BX-15</t>
        </is>
      </c>
      <c r="B15" s="9" t="inlineStr">
        <is>
          <t>견적서 작성</t>
        </is>
      </c>
      <c r="C15" s="9" t="inlineStr">
        <is>
          <t>구매·영업·물류</t>
        </is>
      </c>
      <c r="D15" s="9" t="inlineStr">
        <is>
          <t>서버</t>
        </is>
      </c>
      <c r="E15" s="9" t="inlineStr">
        <is>
          <t>M5</t>
        </is>
      </c>
      <c r="F15" s="9" t="inlineStr">
        <is>
          <t>erp, crm</t>
        </is>
      </c>
      <c r="G15" s="9" t="n">
        <v>2</v>
      </c>
      <c r="H15" s="10" t="inlineStr">
        <is>
          <t>검토 전</t>
        </is>
      </c>
      <c r="I15" s="10" t="inlineStr"/>
    </row>
    <row r="16">
      <c r="A16" s="9" t="inlineStr">
        <is>
          <t>BX-16</t>
        </is>
      </c>
      <c r="B16" s="9" t="inlineStr">
        <is>
          <t>재고 발주 제안 (서버) → ERP 입력 (PC)</t>
        </is>
      </c>
      <c r="C16" s="9" t="inlineStr">
        <is>
          <t>구매·영업·물류</t>
        </is>
      </c>
      <c r="D16" s="9" t="inlineStr">
        <is>
          <t>서버</t>
        </is>
      </c>
      <c r="E16" s="9" t="inlineStr">
        <is>
          <t>M5</t>
        </is>
      </c>
      <c r="F16" s="9" t="inlineStr">
        <is>
          <t>wms, center-jobs</t>
        </is>
      </c>
      <c r="G16" s="9" t="n">
        <v>1</v>
      </c>
      <c r="H16" s="10" t="inlineStr">
        <is>
          <t>검토 전</t>
        </is>
      </c>
      <c r="I16" s="10" t="inlineStr"/>
    </row>
    <row r="17">
      <c r="A17" s="9" t="inlineStr">
        <is>
          <t>BX-17</t>
        </is>
      </c>
      <c r="B17" s="9" t="inlineStr">
        <is>
          <t>ERP 발주 화면 입력</t>
        </is>
      </c>
      <c r="C17" s="9" t="inlineStr">
        <is>
          <t>구매·영업·물류</t>
        </is>
      </c>
      <c r="D17" s="9" t="inlineStr">
        <is>
          <t>PC</t>
        </is>
      </c>
      <c r="E17" s="9" t="inlineStr">
        <is>
          <t>M4</t>
        </is>
      </c>
      <c r="F17" s="9" t="inlineStr">
        <is>
          <t>ui-automation</t>
        </is>
      </c>
      <c r="G17" s="9" t="n">
        <v>1</v>
      </c>
      <c r="H17" s="10" t="inlineStr">
        <is>
          <t>검토 전</t>
        </is>
      </c>
      <c r="I17" s="10" t="inlineStr"/>
    </row>
    <row r="18">
      <c r="A18" s="9" t="inlineStr">
        <is>
          <t>BX-20</t>
        </is>
      </c>
      <c r="B18" s="9" t="inlineStr">
        <is>
          <t>입사자 온보딩</t>
        </is>
      </c>
      <c r="C18" s="9" t="inlineStr">
        <is>
          <t>인사·총무</t>
        </is>
      </c>
      <c r="D18" s="9" t="inlineStr">
        <is>
          <t>서버</t>
        </is>
      </c>
      <c r="E18" s="9" t="inlineStr">
        <is>
          <t>M5</t>
        </is>
      </c>
      <c r="F18" s="9" t="inlineStr">
        <is>
          <t>directory</t>
        </is>
      </c>
      <c r="G18" s="9" t="n">
        <v>2</v>
      </c>
      <c r="H18" s="10" t="inlineStr">
        <is>
          <t>검토 전</t>
        </is>
      </c>
      <c r="I18" s="10" t="inlineStr"/>
    </row>
    <row r="19">
      <c r="A19" s="9" t="inlineStr">
        <is>
          <t>BX-21</t>
        </is>
      </c>
      <c r="B19" s="9" t="inlineStr">
        <is>
          <t>휴가 신청</t>
        </is>
      </c>
      <c r="C19" s="9" t="inlineStr">
        <is>
          <t>인사·총무</t>
        </is>
      </c>
      <c r="D19" s="9" t="inlineStr">
        <is>
          <t>서버</t>
        </is>
      </c>
      <c r="E19" s="9" t="inlineStr">
        <is>
          <t>M5</t>
        </is>
      </c>
      <c r="F19" s="9" t="inlineStr">
        <is>
          <t>hris</t>
        </is>
      </c>
      <c r="G19" s="9" t="n">
        <v>3</v>
      </c>
      <c r="H19" s="10" t="inlineStr">
        <is>
          <t>검토 전</t>
        </is>
      </c>
      <c r="I19" s="10" t="inlineStr"/>
    </row>
    <row r="20">
      <c r="A20" s="9" t="inlineStr">
        <is>
          <t>BX-22</t>
        </is>
      </c>
      <c r="B20" s="9" t="inlineStr">
        <is>
          <t>퇴사자 계정 회수</t>
        </is>
      </c>
      <c r="C20" s="9" t="inlineStr">
        <is>
          <t>인사·총무</t>
        </is>
      </c>
      <c r="D20" s="9" t="inlineStr">
        <is>
          <t>서버</t>
        </is>
      </c>
      <c r="E20" s="9" t="inlineStr">
        <is>
          <t>M5</t>
        </is>
      </c>
      <c r="F20" s="9" t="inlineStr">
        <is>
          <t>directory, erp</t>
        </is>
      </c>
      <c r="G20" s="9" t="n">
        <v>2</v>
      </c>
      <c r="H20" s="10" t="inlineStr">
        <is>
          <t>검토 전</t>
        </is>
      </c>
      <c r="I20" s="10" t="inlineStr"/>
    </row>
    <row r="21">
      <c r="A21" s="9" t="inlineStr">
        <is>
          <t>BX-23</t>
        </is>
      </c>
      <c r="B21" s="9" t="inlineStr">
        <is>
          <t>필수 교육 이수 독려</t>
        </is>
      </c>
      <c r="C21" s="9" t="inlineStr">
        <is>
          <t>인사·총무</t>
        </is>
      </c>
      <c r="D21" s="9" t="inlineStr">
        <is>
          <t>서버</t>
        </is>
      </c>
      <c r="E21" s="9" t="inlineStr">
        <is>
          <t>M5</t>
        </is>
      </c>
      <c r="F21" s="9" t="inlineStr">
        <is>
          <t>lms, mailer</t>
        </is>
      </c>
      <c r="G21" s="9" t="n">
        <v>1</v>
      </c>
      <c r="H21" s="10" t="inlineStr">
        <is>
          <t>검토 전</t>
        </is>
      </c>
      <c r="I21" s="10" t="inlineStr"/>
    </row>
    <row r="22">
      <c r="A22" s="9" t="inlineStr">
        <is>
          <t>BX-24</t>
        </is>
      </c>
      <c r="B22" s="9" t="inlineStr">
        <is>
          <t>잔여 휴가 조회 (공유)</t>
        </is>
      </c>
      <c r="C22" s="9" t="inlineStr">
        <is>
          <t>인사·총무</t>
        </is>
      </c>
      <c r="D22" s="9" t="inlineStr">
        <is>
          <t>서버</t>
        </is>
      </c>
      <c r="E22" s="9" t="inlineStr">
        <is>
          <t>M5</t>
        </is>
      </c>
      <c r="F22" s="9" t="inlineStr">
        <is>
          <t>hris</t>
        </is>
      </c>
      <c r="G22" s="9" t="n">
        <v>2</v>
      </c>
      <c r="H22" s="10" t="inlineStr">
        <is>
          <t>검토 전</t>
        </is>
      </c>
      <c r="I22" s="10" t="inlineStr"/>
    </row>
    <row r="23">
      <c r="A23" s="9" t="inlineStr">
        <is>
          <t>BX-30</t>
        </is>
      </c>
      <c r="B23" s="9" t="inlineStr">
        <is>
          <t>계약서 검토</t>
        </is>
      </c>
      <c r="C23" s="9" t="inlineStr">
        <is>
          <t>운영·법무·IT·고객</t>
        </is>
      </c>
      <c r="D23" s="9" t="inlineStr">
        <is>
          <t>서버</t>
        </is>
      </c>
      <c r="E23" s="9" t="inlineStr">
        <is>
          <t>M3</t>
        </is>
      </c>
      <c r="F23" s="9" t="inlineStr">
        <is>
          <t>—</t>
        </is>
      </c>
      <c r="G23" s="9" t="n">
        <v>2</v>
      </c>
      <c r="H23" s="10" t="inlineStr">
        <is>
          <t>검토 전</t>
        </is>
      </c>
      <c r="I23" s="10" t="inlineStr"/>
    </row>
    <row r="24">
      <c r="A24" s="9" t="inlineStr">
        <is>
          <t>BX-37</t>
        </is>
      </c>
      <c r="B24" s="9" t="inlineStr">
        <is>
          <t>조항 검토 (공유)</t>
        </is>
      </c>
      <c r="C24" s="9" t="inlineStr">
        <is>
          <t>운영·법무·IT·고객</t>
        </is>
      </c>
      <c r="D24" s="9" t="inlineStr">
        <is>
          <t>서버</t>
        </is>
      </c>
      <c r="E24" s="9" t="inlineStr">
        <is>
          <t>M3</t>
        </is>
      </c>
      <c r="F24" s="9" t="inlineStr">
        <is>
          <t>—</t>
        </is>
      </c>
      <c r="G24" s="9" t="n">
        <v>2</v>
      </c>
      <c r="H24" s="10" t="inlineStr">
        <is>
          <t>검토 전</t>
        </is>
      </c>
      <c r="I24" s="10" t="inlineStr"/>
    </row>
    <row r="25">
      <c r="A25" s="9" t="inlineStr">
        <is>
          <t>BX-31</t>
        </is>
      </c>
      <c r="B25" s="9" t="inlineStr">
        <is>
          <t>업무 요청 접수·분배</t>
        </is>
      </c>
      <c r="C25" s="9" t="inlineStr">
        <is>
          <t>운영·법무·IT·고객</t>
        </is>
      </c>
      <c r="D25" s="9" t="inlineStr">
        <is>
          <t>서버</t>
        </is>
      </c>
      <c r="E25" s="9" t="inlineStr">
        <is>
          <t>M5</t>
        </is>
      </c>
      <c r="F25" s="9" t="inlineStr">
        <is>
          <t>ticketing</t>
        </is>
      </c>
      <c r="G25" s="9" t="n">
        <v>2</v>
      </c>
      <c r="H25" s="10" t="inlineStr">
        <is>
          <t>검토 전</t>
        </is>
      </c>
      <c r="I25" s="10" t="inlineStr"/>
    </row>
    <row r="26">
      <c r="A26" s="9" t="inlineStr">
        <is>
          <t>BX-32</t>
        </is>
      </c>
      <c r="B26" s="9" t="inlineStr">
        <is>
          <t>고객 문의 답변 초안</t>
        </is>
      </c>
      <c r="C26" s="9" t="inlineStr">
        <is>
          <t>운영·법무·IT·고객</t>
        </is>
      </c>
      <c r="D26" s="9" t="inlineStr">
        <is>
          <t>서버</t>
        </is>
      </c>
      <c r="E26" s="9" t="inlineStr">
        <is>
          <t>M5</t>
        </is>
      </c>
      <c r="F26" s="9" t="inlineStr">
        <is>
          <t>kb-search, ext-helpdesk</t>
        </is>
      </c>
      <c r="G26" s="9" t="n">
        <v>1</v>
      </c>
      <c r="H26" s="10" t="inlineStr">
        <is>
          <t>검토 전</t>
        </is>
      </c>
      <c r="I26" s="10" t="inlineStr"/>
    </row>
    <row r="27">
      <c r="A27" s="9" t="inlineStr">
        <is>
          <t>BX-33</t>
        </is>
      </c>
      <c r="B27" s="9" t="inlineStr">
        <is>
          <t>IT 권한 신청</t>
        </is>
      </c>
      <c r="C27" s="9" t="inlineStr">
        <is>
          <t>운영·법무·IT·고객</t>
        </is>
      </c>
      <c r="D27" s="9" t="inlineStr">
        <is>
          <t>서버</t>
        </is>
      </c>
      <c r="E27" s="9" t="inlineStr">
        <is>
          <t>M5</t>
        </is>
      </c>
      <c r="F27" s="9" t="inlineStr">
        <is>
          <t>directory</t>
        </is>
      </c>
      <c r="G27" s="9" t="n">
        <v>2</v>
      </c>
      <c r="H27" s="10" t="inlineStr">
        <is>
          <t>검토 전</t>
        </is>
      </c>
      <c r="I27" s="10" t="inlineStr"/>
    </row>
    <row r="28">
      <c r="A28" s="9" t="inlineStr">
        <is>
          <t>BX-34</t>
        </is>
      </c>
      <c r="B28" s="9" t="inlineStr">
        <is>
          <t>장애 알림 대응</t>
        </is>
      </c>
      <c r="C28" s="9" t="inlineStr">
        <is>
          <t>운영·법무·IT·고객</t>
        </is>
      </c>
      <c r="D28" s="9" t="inlineStr">
        <is>
          <t>서버</t>
        </is>
      </c>
      <c r="E28" s="9" t="inlineStr">
        <is>
          <t>M5</t>
        </is>
      </c>
      <c r="F28" s="9" t="inlineStr">
        <is>
          <t>observability</t>
        </is>
      </c>
      <c r="G28" s="9" t="n">
        <v>2</v>
      </c>
      <c r="H28" s="10" t="inlineStr">
        <is>
          <t>검토 전</t>
        </is>
      </c>
      <c r="I28" s="10" t="inlineStr"/>
    </row>
    <row r="29">
      <c r="A29" s="9" t="inlineStr">
        <is>
          <t>BX-35</t>
        </is>
      </c>
      <c r="B29" s="9" t="inlineStr">
        <is>
          <t>VOC 주간 분석</t>
        </is>
      </c>
      <c r="C29" s="9" t="inlineStr">
        <is>
          <t>운영·법무·IT·고객</t>
        </is>
      </c>
      <c r="D29" s="9" t="inlineStr">
        <is>
          <t>서버</t>
        </is>
      </c>
      <c r="E29" s="9" t="inlineStr">
        <is>
          <t>M5</t>
        </is>
      </c>
      <c r="F29" s="9" t="inlineStr">
        <is>
          <t>ext-helpdesk</t>
        </is>
      </c>
      <c r="G29" s="9" t="n">
        <v>1</v>
      </c>
      <c r="H29" s="10" t="inlineStr">
        <is>
          <t>검토 전</t>
        </is>
      </c>
      <c r="I29" s="10" t="inlineStr"/>
    </row>
    <row r="30">
      <c r="A30" s="9" t="inlineStr">
        <is>
          <t>BX-36</t>
        </is>
      </c>
      <c r="B30" s="9" t="inlineStr">
        <is>
          <t>레거시 화면 데이터 이관</t>
        </is>
      </c>
      <c r="C30" s="9" t="inlineStr">
        <is>
          <t>운영·법무·IT·고객</t>
        </is>
      </c>
      <c r="D30" s="9" t="inlineStr">
        <is>
          <t>PC</t>
        </is>
      </c>
      <c r="E30" s="9" t="inlineStr">
        <is>
          <t>M5</t>
        </is>
      </c>
      <c r="F30" s="9" t="inlineStr">
        <is>
          <t>ui-automation, crm</t>
        </is>
      </c>
      <c r="G30" s="9" t="n">
        <v>1</v>
      </c>
      <c r="H30" s="10" t="inlineStr">
        <is>
          <t>검토 전</t>
        </is>
      </c>
      <c r="I30" s="10" t="inlineStr"/>
    </row>
    <row r="31">
      <c r="A31" s="9" t="inlineStr">
        <is>
          <t>FX-01</t>
        </is>
      </c>
      <c r="B31" s="9" t="inlineStr">
        <is>
          <t>API AI 태스크</t>
        </is>
      </c>
      <c r="C31" s="9" t="inlineStr">
        <is>
          <t>기능 예제</t>
        </is>
      </c>
      <c r="D31" s="9" t="inlineStr">
        <is>
          <t>서버</t>
        </is>
      </c>
      <c r="E31" s="9" t="inlineStr">
        <is>
          <t>M3</t>
        </is>
      </c>
      <c r="F31" s="9" t="inlineStr">
        <is>
          <t>—</t>
        </is>
      </c>
      <c r="G31" s="9" t="n">
        <v>1</v>
      </c>
      <c r="H31" s="10" t="inlineStr">
        <is>
          <t>검토 전</t>
        </is>
      </c>
      <c r="I31" s="10" t="inlineStr"/>
    </row>
    <row r="32">
      <c r="A32" s="9" t="inlineStr">
        <is>
          <t>FX-02</t>
        </is>
      </c>
      <c r="B32" s="9" t="inlineStr">
        <is>
          <t>규칙 태스크 (DMN)</t>
        </is>
      </c>
      <c r="C32" s="9" t="inlineStr">
        <is>
          <t>기능 예제</t>
        </is>
      </c>
      <c r="D32" s="9" t="inlineStr">
        <is>
          <t>서버</t>
        </is>
      </c>
      <c r="E32" s="9" t="inlineStr">
        <is>
          <t>M3</t>
        </is>
      </c>
      <c r="F32" s="9" t="inlineStr">
        <is>
          <t>—</t>
        </is>
      </c>
      <c r="G32" s="9" t="n">
        <v>2</v>
      </c>
      <c r="H32" s="10" t="inlineStr">
        <is>
          <t>검토 전</t>
        </is>
      </c>
      <c r="I32" s="10" t="inlineStr"/>
    </row>
    <row r="33">
      <c r="A33" s="9" t="inlineStr">
        <is>
          <t>FX-03</t>
        </is>
      </c>
      <c r="B33" s="9" t="inlineStr">
        <is>
          <t>BPM 프로세스 호출과 매핑</t>
        </is>
      </c>
      <c r="C33" s="9" t="inlineStr">
        <is>
          <t>기능 예제</t>
        </is>
      </c>
      <c r="D33" s="9" t="inlineStr">
        <is>
          <t>서버</t>
        </is>
      </c>
      <c r="E33" s="9" t="inlineStr">
        <is>
          <t>M3</t>
        </is>
      </c>
      <c r="F33" s="9" t="inlineStr">
        <is>
          <t>—</t>
        </is>
      </c>
      <c r="G33" s="9" t="n">
        <v>1</v>
      </c>
      <c r="H33" s="10" t="inlineStr">
        <is>
          <t>검토 전</t>
        </is>
      </c>
      <c r="I33" s="10" t="inlineStr"/>
    </row>
    <row r="34">
      <c r="A34" s="9" t="inlineStr">
        <is>
          <t>FX-03b</t>
        </is>
      </c>
      <c r="B34" s="9" t="inlineStr">
        <is>
          <t>금액 분기 (호출 대상)</t>
        </is>
      </c>
      <c r="C34" s="9" t="inlineStr">
        <is>
          <t>기능 예제</t>
        </is>
      </c>
      <c r="D34" s="9" t="inlineStr">
        <is>
          <t>서버</t>
        </is>
      </c>
      <c r="E34" s="9" t="inlineStr">
        <is>
          <t>M3</t>
        </is>
      </c>
      <c r="F34" s="9" t="inlineStr">
        <is>
          <t>—</t>
        </is>
      </c>
      <c r="G34" s="9" t="n">
        <v>2</v>
      </c>
      <c r="H34" s="10" t="inlineStr">
        <is>
          <t>검토 전</t>
        </is>
      </c>
      <c r="I34" s="10" t="inlineStr"/>
    </row>
    <row r="35">
      <c r="A35" s="9" t="inlineStr">
        <is>
          <t>FX-04</t>
        </is>
      </c>
      <c r="B35" s="9" t="inlineStr">
        <is>
          <t>폴더 감시 (조건 시작 대체)</t>
        </is>
      </c>
      <c r="C35" s="9" t="inlineStr">
        <is>
          <t>기능 예제</t>
        </is>
      </c>
      <c r="D35" s="9" t="inlineStr">
        <is>
          <t>서버</t>
        </is>
      </c>
      <c r="E35" s="9" t="inlineStr">
        <is>
          <t>M3</t>
        </is>
      </c>
      <c r="F35" s="9" t="inlineStr">
        <is>
          <t>—</t>
        </is>
      </c>
      <c r="G35" s="9" t="n">
        <v>2</v>
      </c>
      <c r="H35" s="10" t="inlineStr">
        <is>
          <t>검토 전</t>
        </is>
      </c>
      <c r="I35" s="10" t="inlineStr"/>
    </row>
    <row r="36">
      <c r="A36" s="9" t="inlineStr">
        <is>
          <t>FX-05</t>
        </is>
      </c>
      <c r="B36" s="9" t="inlineStr">
        <is>
          <t>데스크톱 AI 태스크 (자율)</t>
        </is>
      </c>
      <c r="C36" s="9" t="inlineStr">
        <is>
          <t>기능 예제</t>
        </is>
      </c>
      <c r="D36" s="9" t="inlineStr">
        <is>
          <t>PC</t>
        </is>
      </c>
      <c r="E36" s="9" t="inlineStr">
        <is>
          <t>M4</t>
        </is>
      </c>
      <c r="F36" s="9" t="inlineStr">
        <is>
          <t>—</t>
        </is>
      </c>
      <c r="G36" s="9" t="n">
        <v>1</v>
      </c>
      <c r="H36" s="10" t="inlineStr">
        <is>
          <t>검토 전</t>
        </is>
      </c>
      <c r="I36" s="10" t="inlineStr"/>
    </row>
    <row r="37">
      <c r="A37" s="9" t="inlineStr">
        <is>
          <t>FX-06</t>
        </is>
      </c>
      <c r="B37" s="9" t="inlineStr">
        <is>
          <t>문서 AI 태스크</t>
        </is>
      </c>
      <c r="C37" s="9" t="inlineStr">
        <is>
          <t>기능 예제</t>
        </is>
      </c>
      <c r="D37" s="9" t="inlineStr">
        <is>
          <t>서버</t>
        </is>
      </c>
      <c r="E37" s="9" t="inlineStr">
        <is>
          <t>M3</t>
        </is>
      </c>
      <c r="F37" s="9" t="inlineStr">
        <is>
          <t>—</t>
        </is>
      </c>
      <c r="G37" s="9" t="n">
        <v>1</v>
      </c>
      <c r="H37" s="10" t="inlineStr">
        <is>
          <t>검토 전</t>
        </is>
      </c>
      <c r="I37" s="10" t="inlineStr"/>
    </row>
    <row r="38">
      <c r="A38" s="9" t="inlineStr">
        <is>
          <t>FX-07</t>
        </is>
      </c>
      <c r="B38" s="9" t="inlineStr">
        <is>
          <t>메일 보내기</t>
        </is>
      </c>
      <c r="C38" s="9" t="inlineStr">
        <is>
          <t>기능 예제</t>
        </is>
      </c>
      <c r="D38" s="9" t="inlineStr">
        <is>
          <t>서버</t>
        </is>
      </c>
      <c r="E38" s="9" t="inlineStr">
        <is>
          <t>M3</t>
        </is>
      </c>
      <c r="F38" s="9" t="inlineStr">
        <is>
          <t>—</t>
        </is>
      </c>
      <c r="G38" s="9" t="n">
        <v>1</v>
      </c>
      <c r="H38" s="10" t="inlineStr">
        <is>
          <t>검토 전</t>
        </is>
      </c>
      <c r="I38" s="10" t="inlineStr"/>
    </row>
    <row r="39">
      <c r="A39" s="9" t="inlineStr">
        <is>
          <t>FX-08</t>
        </is>
      </c>
      <c r="B39" s="9" t="inlineStr">
        <is>
          <t>오류 경계와 대체 경로</t>
        </is>
      </c>
      <c r="C39" s="9" t="inlineStr">
        <is>
          <t>기능 예제</t>
        </is>
      </c>
      <c r="D39" s="9" t="inlineStr">
        <is>
          <t>서버</t>
        </is>
      </c>
      <c r="E39" s="9" t="inlineStr">
        <is>
          <t>M3</t>
        </is>
      </c>
      <c r="F39" s="9" t="inlineStr">
        <is>
          <t>—</t>
        </is>
      </c>
      <c r="G39" s="9" t="n">
        <v>1</v>
      </c>
      <c r="H39" s="10" t="inlineStr">
        <is>
          <t>검토 전</t>
        </is>
      </c>
      <c r="I39" s="10" t="inlineStr"/>
    </row>
    <row r="40">
      <c r="A40" s="9" t="inlineStr">
        <is>
          <t>FX-09</t>
        </is>
      </c>
      <c r="B40" s="9" t="inlineStr">
        <is>
          <t>차례 반복</t>
        </is>
      </c>
      <c r="C40" s="9" t="inlineStr">
        <is>
          <t>기능 예제</t>
        </is>
      </c>
      <c r="D40" s="9" t="inlineStr">
        <is>
          <t>서버</t>
        </is>
      </c>
      <c r="E40" s="9" t="inlineStr">
        <is>
          <t>M3</t>
        </is>
      </c>
      <c r="F40" s="9" t="inlineStr">
        <is>
          <t>—</t>
        </is>
      </c>
      <c r="G40" s="9" t="n">
        <v>2</v>
      </c>
      <c r="H40" s="10" t="inlineStr">
        <is>
          <t>검토 전</t>
        </is>
      </c>
      <c r="I40" s="10" t="inlineStr"/>
    </row>
    <row r="41">
      <c r="A41" s="9" t="inlineStr">
        <is>
          <t>FX-10</t>
        </is>
      </c>
      <c r="B41" s="9" t="inlineStr">
        <is>
          <t>요청 라우팅 (운영 비서)</t>
        </is>
      </c>
      <c r="C41" s="9" t="inlineStr">
        <is>
          <t>기능 예제</t>
        </is>
      </c>
      <c r="D41" s="9" t="inlineStr">
        <is>
          <t>서버</t>
        </is>
      </c>
      <c r="E41" s="9" t="inlineStr">
        <is>
          <t>M5</t>
        </is>
      </c>
      <c r="F41" s="9" t="inlineStr">
        <is>
          <t>web-reader</t>
        </is>
      </c>
      <c r="G41" s="9" t="n">
        <v>2</v>
      </c>
      <c r="H41" s="10" t="inlineStr">
        <is>
          <t>검토 전</t>
        </is>
      </c>
      <c r="I41" s="10" t="inlineStr"/>
    </row>
    <row r="42">
      <c r="A42" s="9" t="inlineStr">
        <is>
          <t>FX-11</t>
        </is>
      </c>
      <c r="B42" s="9" t="inlineStr">
        <is>
          <t>병렬 분기·합류</t>
        </is>
      </c>
      <c r="C42" s="9" t="inlineStr">
        <is>
          <t>기능 예제</t>
        </is>
      </c>
      <c r="D42" s="9" t="inlineStr">
        <is>
          <t>서버</t>
        </is>
      </c>
      <c r="E42" s="9" t="inlineStr">
        <is>
          <t>M3</t>
        </is>
      </c>
      <c r="F42" s="9" t="inlineStr">
        <is>
          <t>—</t>
        </is>
      </c>
      <c r="G42" s="9" t="n">
        <v>1</v>
      </c>
      <c r="H42" s="10" t="inlineStr">
        <is>
          <t>검토 전</t>
        </is>
      </c>
      <c r="I42" s="10" t="inlineStr"/>
    </row>
    <row r="43">
      <c r="A43" s="9" t="inlineStr">
        <is>
          <t>FX-12</t>
        </is>
      </c>
      <c r="B43" s="9" t="inlineStr">
        <is>
          <t>타이머 시작 + 파일 출력</t>
        </is>
      </c>
      <c r="C43" s="9" t="inlineStr">
        <is>
          <t>기능 예제</t>
        </is>
      </c>
      <c r="D43" s="9" t="inlineStr">
        <is>
          <t>서버</t>
        </is>
      </c>
      <c r="E43" s="9" t="inlineStr">
        <is>
          <t>M3</t>
        </is>
      </c>
      <c r="F43" s="9" t="inlineStr">
        <is>
          <t>—</t>
        </is>
      </c>
      <c r="G43" s="9" t="n">
        <v>1</v>
      </c>
      <c r="H43" s="10" t="inlineStr">
        <is>
          <t>검토 전</t>
        </is>
      </c>
      <c r="I43" s="10" t="inlineStr"/>
    </row>
    <row r="44">
      <c r="A44" s="9" t="inlineStr">
        <is>
          <t>FX-13</t>
        </is>
      </c>
      <c r="B44" s="9" t="inlineStr">
        <is>
          <t>신호 던지기·받기</t>
        </is>
      </c>
      <c r="C44" s="9" t="inlineStr">
        <is>
          <t>기능 예제</t>
        </is>
      </c>
      <c r="D44" s="9" t="inlineStr">
        <is>
          <t>서버</t>
        </is>
      </c>
      <c r="E44" s="9" t="inlineStr">
        <is>
          <t>M3</t>
        </is>
      </c>
      <c r="F44" s="9" t="inlineStr">
        <is>
          <t>—</t>
        </is>
      </c>
      <c r="G44" s="9" t="n">
        <v>2</v>
      </c>
      <c r="H44" s="10" t="inlineStr">
        <is>
          <t>검토 전</t>
        </is>
      </c>
      <c r="I44" s="10" t="inlineStr"/>
    </row>
    <row r="45">
      <c r="A45" s="9" t="inlineStr">
        <is>
          <t>FX-14</t>
        </is>
      </c>
      <c r="B45" s="9" t="inlineStr">
        <is>
          <t>중간 타이머와 결재 시간 제한</t>
        </is>
      </c>
      <c r="C45" s="9" t="inlineStr">
        <is>
          <t>기능 예제</t>
        </is>
      </c>
      <c r="D45" s="9" t="inlineStr">
        <is>
          <t>서버</t>
        </is>
      </c>
      <c r="E45" s="9" t="inlineStr">
        <is>
          <t>M3</t>
        </is>
      </c>
      <c r="F45" s="9" t="inlineStr">
        <is>
          <t>—</t>
        </is>
      </c>
      <c r="G45" s="9" t="n">
        <v>2</v>
      </c>
      <c r="H45" s="10" t="inlineStr">
        <is>
          <t>검토 전</t>
        </is>
      </c>
      <c r="I45" s="10" t="inlineStr"/>
    </row>
    <row r="46">
      <c r="A46" s="9" t="inlineStr">
        <is>
          <t>FX-15</t>
        </is>
      </c>
      <c r="B46" s="9" t="inlineStr">
        <is>
          <t>웹 양식 제출 (PC)</t>
        </is>
      </c>
      <c r="C46" s="9" t="inlineStr">
        <is>
          <t>기능 예제</t>
        </is>
      </c>
      <c r="D46" s="9" t="inlineStr">
        <is>
          <t>PC</t>
        </is>
      </c>
      <c r="E46" s="9" t="inlineStr">
        <is>
          <t>M4</t>
        </is>
      </c>
      <c r="F46" s="9" t="inlineStr">
        <is>
          <t>ui-automation</t>
        </is>
      </c>
      <c r="G46" s="9" t="n">
        <v>1</v>
      </c>
      <c r="H46" s="10" t="inlineStr">
        <is>
          <t>검토 전</t>
        </is>
      </c>
      <c r="I46" s="10" t="inlineStr"/>
    </row>
    <row r="47">
      <c r="A47" s="9" t="inlineStr">
        <is>
          <t>FX-16</t>
        </is>
      </c>
      <c r="B47" s="9" t="inlineStr">
        <is>
          <t>현장 확인 (PC 결재 위치)</t>
        </is>
      </c>
      <c r="C47" s="9" t="inlineStr">
        <is>
          <t>기능 예제</t>
        </is>
      </c>
      <c r="D47" s="9" t="inlineStr">
        <is>
          <t>PC</t>
        </is>
      </c>
      <c r="E47" s="9" t="inlineStr">
        <is>
          <t>M4</t>
        </is>
      </c>
      <c r="F47" s="9" t="inlineStr">
        <is>
          <t>ui-automation</t>
        </is>
      </c>
      <c r="G47" s="9" t="n">
        <v>2</v>
      </c>
      <c r="H47" s="10" t="inlineStr">
        <is>
          <t>검토 전</t>
        </is>
      </c>
      <c r="I47" s="10" t="inlineStr"/>
    </row>
    <row r="48">
      <c r="A48" s="9" t="inlineStr">
        <is>
          <t>FX-17</t>
        </is>
      </c>
      <c r="B48" s="9" t="inlineStr">
        <is>
          <t>웹훅 보내기</t>
        </is>
      </c>
      <c r="C48" s="9" t="inlineStr">
        <is>
          <t>기능 예제</t>
        </is>
      </c>
      <c r="D48" s="9" t="inlineStr">
        <is>
          <t>서버</t>
        </is>
      </c>
      <c r="E48" s="9" t="inlineStr">
        <is>
          <t>M3</t>
        </is>
      </c>
      <c r="F48" s="9" t="inlineStr">
        <is>
          <t>—</t>
        </is>
      </c>
      <c r="G48" s="9" t="n">
        <v>2</v>
      </c>
      <c r="H48" s="10" t="inlineStr">
        <is>
          <t>검토 전</t>
        </is>
      </c>
      <c r="I48" s="10" t="inlineStr"/>
    </row>
    <row r="49">
      <c r="A49" s="9" t="inlineStr">
        <is>
          <t>FX-18</t>
        </is>
      </c>
      <c r="B49" s="9" t="inlineStr">
        <is>
          <t>병렬 반복</t>
        </is>
      </c>
      <c r="C49" s="9" t="inlineStr">
        <is>
          <t>기능 예제</t>
        </is>
      </c>
      <c r="D49" s="9" t="inlineStr">
        <is>
          <t>서버</t>
        </is>
      </c>
      <c r="E49" s="9" t="inlineStr">
        <is>
          <t>M5</t>
        </is>
      </c>
      <c r="F49" s="9" t="inlineStr">
        <is>
          <t>web-reader</t>
        </is>
      </c>
      <c r="G49" s="9" t="n">
        <v>1</v>
      </c>
      <c r="H49" s="10" t="inlineStr">
        <is>
          <t>검토 전</t>
        </is>
      </c>
      <c r="I49" s="10" t="inlineStr"/>
    </row>
    <row r="50">
      <c r="A50" s="9" t="inlineStr">
        <is>
          <t>FX-19</t>
        </is>
      </c>
      <c r="B50" s="9" t="inlineStr">
        <is>
          <t>수동 확인 (PC)</t>
        </is>
      </c>
      <c r="C50" s="9" t="inlineStr">
        <is>
          <t>기능 예제</t>
        </is>
      </c>
      <c r="D50" s="9" t="inlineStr">
        <is>
          <t>PC</t>
        </is>
      </c>
      <c r="E50" s="9" t="inlineStr">
        <is>
          <t>M3</t>
        </is>
      </c>
      <c r="F50" s="9" t="inlineStr">
        <is>
          <t>—</t>
        </is>
      </c>
      <c r="G50" s="9" t="n">
        <v>1</v>
      </c>
      <c r="H50" s="10" t="inlineStr">
        <is>
          <t>검토 전</t>
        </is>
      </c>
      <c r="I50" s="10" t="inlineStr"/>
    </row>
    <row r="51">
      <c r="A51" s="9" t="inlineStr">
        <is>
          <t>FX-20</t>
        </is>
      </c>
      <c r="B51" s="9" t="inlineStr">
        <is>
          <t>외부 확장 HTTP 어댑터 호출</t>
        </is>
      </c>
      <c r="C51" s="9" t="inlineStr">
        <is>
          <t>기능 예제</t>
        </is>
      </c>
      <c r="D51" s="9" t="inlineStr">
        <is>
          <t>서버</t>
        </is>
      </c>
      <c r="E51" s="9" t="inlineStr">
        <is>
          <t>M5</t>
        </is>
      </c>
      <c r="F51" s="9" t="inlineStr">
        <is>
          <t>ext-credit</t>
        </is>
      </c>
      <c r="G51" s="9" t="n">
        <v>1</v>
      </c>
      <c r="H51" s="10" t="inlineStr">
        <is>
          <t>검토 전</t>
        </is>
      </c>
      <c r="I51" s="10" t="inlineStr"/>
    </row>
  </sheetData>
  <autoFilter ref="A1:I51"/>
  <dataValidations count="1">
    <dataValidation sqref="H2:H51" showDropDown="0" showInputMessage="0" showErrorMessage="0" allowBlank="1" type="list">
      <formula1>"검토 전,확인,수정 필요,보류"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2" customWidth="1" min="2" max="2"/>
    <col width="26" customWidth="1" min="3" max="3"/>
    <col width="13" customWidth="1" min="4" max="4"/>
    <col width="34" customWidth="1" min="5" max="5"/>
  </cols>
  <sheetData>
    <row r="1">
      <c r="A1" s="8" t="inlineStr">
        <is>
          <t>단계</t>
        </is>
      </c>
      <c r="B1" s="8" t="inlineStr">
        <is>
          <t>할 일</t>
        </is>
      </c>
      <c r="C1" s="8" t="inlineStr">
        <is>
          <t>어디서</t>
        </is>
      </c>
      <c r="D1" s="8" t="inlineStr">
        <is>
          <t>상태 (입력)</t>
        </is>
      </c>
      <c r="E1" s="8" t="inlineStr">
        <is>
          <t>메모 (입력)</t>
        </is>
      </c>
    </row>
    <row r="2">
      <c r="A2" s="9" t="inlineStr">
        <is>
          <t>M0</t>
        </is>
      </c>
      <c r="B2" s="9" t="inlineStr">
        <is>
          <t>ADR 0004~0011 수락 여부 결정</t>
        </is>
      </c>
      <c r="C2" s="9" t="inlineStr">
        <is>
          <t>ADR 결정 시트</t>
        </is>
      </c>
      <c r="D2" s="10" t="inlineStr">
        <is>
          <t>완료</t>
        </is>
      </c>
      <c r="E2" s="10" t="inlineStr">
        <is>
          <t>2026-10-01 모두 수락 (0008·0009·0010 수정)</t>
        </is>
      </c>
    </row>
    <row r="3">
      <c r="A3" s="9" t="inlineStr">
        <is>
          <t>M0</t>
        </is>
      </c>
      <c r="B3" s="9" t="inlineStr">
        <is>
          <t>서비스 앱 이름 확정 (ADR-0010)</t>
        </is>
      </c>
      <c r="C3" s="9" t="inlineStr">
        <is>
          <t>이름·용어 시트</t>
        </is>
      </c>
      <c r="D3" s="10" t="inlineStr">
        <is>
          <t>완료</t>
        </is>
      </c>
      <c r="E3" s="10" t="inlineStr">
        <is>
          <t>서비스 앱 + 자율/결정 수행 + API 키</t>
        </is>
      </c>
    </row>
    <row r="4">
      <c r="A4" s="9" t="inlineStr">
        <is>
          <t>M0</t>
        </is>
      </c>
      <c r="B4" s="9" t="inlineStr">
        <is>
          <t>Bot UI 구조 확정 (ADR-0012)</t>
        </is>
      </c>
      <c r="C4" s="9" t="inlineStr">
        <is>
          <t>ADR 결정 시트</t>
        </is>
      </c>
      <c r="D4" s="10" t="inlineStr">
        <is>
          <t>완료</t>
        </is>
      </c>
      <c r="E4" s="10" t="inlineStr">
        <is>
          <t>Bot UI 하나 + Bot = BPM 프로세스 + Worker 프로세스</t>
        </is>
      </c>
    </row>
    <row r="5">
      <c r="A5" s="9" t="inlineStr">
        <is>
          <t>M0</t>
        </is>
      </c>
      <c r="B5" s="9" t="inlineStr">
        <is>
          <t>서비스 앱 키 지정 위치 확정 (ADR-0013 §3)</t>
        </is>
      </c>
      <c r="C5" s="9" t="inlineStr">
        <is>
          <t>ADR 결정 시트</t>
        </is>
      </c>
      <c r="D5" s="10" t="inlineStr">
        <is>
          <t>완료</t>
        </is>
      </c>
      <c r="E5" s="10" t="inlineStr">
        <is>
          <t>안 C: BPM 프로세스에 키 참조</t>
        </is>
      </c>
    </row>
    <row r="6">
      <c r="A6" s="9" t="inlineStr">
        <is>
          <t>M0</t>
        </is>
      </c>
      <c r="B6" s="9" t="inlineStr">
        <is>
          <t>PC 한 대 Bot 동시 실행 여부 (ADR-0014)</t>
        </is>
      </c>
      <c r="C6" s="9" t="inlineStr">
        <is>
          <t>ADR 결정 시트</t>
        </is>
      </c>
      <c r="D6" s="10" t="inlineStr">
        <is>
          <t>완료</t>
        </is>
      </c>
      <c r="E6" s="10" t="inlineStr">
        <is>
          <t>실행 중 Bot 하나 + 대기열</t>
        </is>
      </c>
    </row>
    <row r="7">
      <c r="A7" s="9" t="inlineStr">
        <is>
          <t>M0</t>
        </is>
      </c>
      <c r="B7" s="9" t="inlineStr">
        <is>
          <t>결재 대기 중 실행 자리 (ADR-0014 §5)</t>
        </is>
      </c>
      <c r="C7" s="9" t="inlineStr">
        <is>
          <t>ADR 결정 시트</t>
        </is>
      </c>
      <c r="D7" s="10" t="inlineStr">
        <is>
          <t>완료</t>
        </is>
      </c>
      <c r="E7" s="10" t="inlineStr">
        <is>
          <t>PC Bot은 끝날 때까지 기다림</t>
        </is>
      </c>
    </row>
    <row r="8">
      <c r="A8" s="9" t="inlineStr">
        <is>
          <t>M0</t>
        </is>
      </c>
      <c r="B8" s="9" t="inlineStr">
        <is>
          <t>실행 위치 PC/서버 구분 (ADR-0015)</t>
        </is>
      </c>
      <c r="C8" s="9" t="inlineStr">
        <is>
          <t>ADR 결정 시트</t>
        </is>
      </c>
      <c r="D8" s="10" t="inlineStr">
        <is>
          <t>완료</t>
        </is>
      </c>
      <c r="E8" s="10" t="inlineStr">
        <is>
          <t>서버는 Center 관리·동시 실행</t>
        </is>
      </c>
    </row>
    <row r="9">
      <c r="A9" s="9" t="inlineStr">
        <is>
          <t>M0</t>
        </is>
      </c>
      <c r="B9" s="9" t="inlineStr">
        <is>
          <t>서버 실행 이름(서버 Bot)·상한 기본값·일정(M7) 확인</t>
        </is>
      </c>
      <c r="C9" s="9" t="inlineStr">
        <is>
          <t>ADR-0016</t>
        </is>
      </c>
      <c r="D9" s="10" t="inlineStr">
        <is>
          <t>완료</t>
        </is>
      </c>
      <c r="E9" s="10" t="inlineStr">
        <is>
          <t>서버 Bot, 10/5, M7</t>
        </is>
      </c>
    </row>
    <row r="10">
      <c r="A10" s="9" t="inlineStr">
        <is>
          <t>M0</t>
        </is>
      </c>
      <c r="B10" s="9" t="inlineStr">
        <is>
          <t>PC 위임 방식 확인 (서버 Bot → PC Bot)</t>
        </is>
      </c>
      <c r="C10" s="9" t="inlineStr">
        <is>
          <t>ADR-0016 §3 제안</t>
        </is>
      </c>
      <c r="D10" s="10" t="inlineStr">
        <is>
          <t>대기</t>
        </is>
      </c>
      <c r="E10" s="10" t="inlineStr"/>
    </row>
    <row r="11">
      <c r="A11" s="9" t="inlineStr">
        <is>
          <t>M0</t>
        </is>
      </c>
      <c r="B11" s="9" t="inlineStr">
        <is>
          <t>계약 초안 C1 매니페스트·C3 실행 이벤트·C4 Bot UI↔Center·C11 서비스 앱 공통</t>
        </is>
      </c>
      <c r="C11" s="9" t="inlineStr">
        <is>
          <t>docs/03-contracts</t>
        </is>
      </c>
      <c r="D11" s="10" t="inlineStr">
        <is>
          <t>완료</t>
        </is>
      </c>
      <c r="E11" s="10" t="inlineStr">
        <is>
          <t>2026-10-01 초안</t>
        </is>
      </c>
    </row>
    <row r="12">
      <c r="A12" s="9" t="inlineStr">
        <is>
          <t>M0</t>
        </is>
      </c>
      <c r="B12" s="9" t="inlineStr">
        <is>
          <t>계약 C1·C3·C4·C11 독립 검토 → 합의</t>
        </is>
      </c>
      <c r="C12" s="9" t="inlineStr">
        <is>
          <t>docs/03-contracts</t>
        </is>
      </c>
      <c r="D12" s="10" t="inlineStr">
        <is>
          <t>완료</t>
        </is>
      </c>
      <c r="E12" s="10" t="inlineStr">
        <is>
          <t>지적 22건 반영</t>
        </is>
      </c>
    </row>
    <row r="13">
      <c r="A13" s="9" t="inlineStr">
        <is>
          <t>M0</t>
        </is>
      </c>
      <c r="B13" s="9" t="inlineStr">
        <is>
          <t>계약 초안 C2 서명·C5 패키지·배포·작업·C6 결재·C10 Worker 로컬 API</t>
        </is>
      </c>
      <c r="C13" s="9" t="inlineStr">
        <is>
          <t>docs/03-contracts</t>
        </is>
      </c>
      <c r="D13" s="10" t="inlineStr">
        <is>
          <t>완료</t>
        </is>
      </c>
      <c r="E13" s="10" t="inlineStr">
        <is>
          <t>2026-10-01 초안</t>
        </is>
      </c>
    </row>
    <row r="14">
      <c r="A14" s="9" t="inlineStr">
        <is>
          <t>M0</t>
        </is>
      </c>
      <c r="B14" s="9" t="inlineStr">
        <is>
          <t>계약 C2·C5·C6·C10 독립 검토 → 합의</t>
        </is>
      </c>
      <c r="C14" s="9" t="inlineStr">
        <is>
          <t>docs/03-contracts</t>
        </is>
      </c>
      <c r="D14" s="10" t="inlineStr">
        <is>
          <t>완료</t>
        </is>
      </c>
      <c r="E14" s="10" t="inlineStr">
        <is>
          <t>지적 20건 반영 (Admin 키 추가도 서명으로 등)</t>
        </is>
      </c>
    </row>
    <row r="15">
      <c r="A15" s="9" t="inlineStr">
        <is>
          <t>M0</t>
        </is>
      </c>
      <c r="B15" s="9" t="inlineStr">
        <is>
          <t>계약 초안 C7 리소스·Center 키, C8 계획·치유·보고, C9 화면 레지스트리, C12 서버 실행기(M7)</t>
        </is>
      </c>
      <c r="C15" s="9" t="inlineStr">
        <is>
          <t>docs/03-contracts</t>
        </is>
      </c>
      <c r="D15" s="10" t="inlineStr">
        <is>
          <t>완료</t>
        </is>
      </c>
      <c r="E15" s="10" t="inlineStr">
        <is>
          <t>2026-10-01 초안</t>
        </is>
      </c>
    </row>
    <row r="16">
      <c r="A16" s="9" t="inlineStr">
        <is>
          <t>M0</t>
        </is>
      </c>
      <c r="B16" s="9" t="inlineStr">
        <is>
          <t>확장 모델 ADR-0018 + 계약 C13 확장 정의</t>
        </is>
      </c>
      <c r="C16" s="9" t="inlineStr">
        <is>
          <t>docs/decisions, docs/03-contracts</t>
        </is>
      </c>
      <c r="D16" s="10" t="inlineStr">
        <is>
          <t>완료</t>
        </is>
      </c>
      <c r="E16" s="10" t="inlineStr">
        <is>
          <t>외부 앱은 서명된 HTTP 어댑터</t>
        </is>
      </c>
    </row>
    <row r="17">
      <c r="A17" s="9" t="inlineStr">
        <is>
          <t>M0</t>
        </is>
      </c>
      <c r="B17" s="9" t="inlineStr">
        <is>
          <t>계약 C7·C8·C9·C13 독립 검토 → 합의</t>
        </is>
      </c>
      <c r="C17" s="9" t="inlineStr">
        <is>
          <t>docs/03-contracts</t>
        </is>
      </c>
      <c r="D17" s="10" t="inlineStr">
        <is>
          <t>완료</t>
        </is>
      </c>
      <c r="E17" s="10" t="inlineStr">
        <is>
          <t>지적 13건 반영 (외부 정의 서명, 어댑터 SSRF 방어 등)</t>
        </is>
      </c>
    </row>
    <row r="18">
      <c r="A18" s="9" t="inlineStr">
        <is>
          <t>M0</t>
        </is>
      </c>
      <c r="B18" s="9" t="inlineStr">
        <is>
          <t>화면 설계서 최종 검토 (BUI-11·STU-15 포함)</t>
        </is>
      </c>
      <c r="C18" s="9" t="inlineStr">
        <is>
          <t>docs/06-screens</t>
        </is>
      </c>
      <c r="D18" s="10" t="inlineStr">
        <is>
          <t>완료</t>
        </is>
      </c>
      <c r="E18" s="10" t="inlineStr">
        <is>
          <t>독립 검토 22건 반영 → M0 문서 기준선 끝</t>
        </is>
      </c>
    </row>
    <row r="19">
      <c r="A19" s="9" t="inlineStr">
        <is>
          <t>M0</t>
        </is>
      </c>
      <c r="B19" s="9" t="inlineStr">
        <is>
          <t>BPM 업무 예제 50개 (업무 29·기능 21) + 작성 규칙 + C14 BPMN 확장 속성</t>
        </is>
      </c>
      <c r="C19" s="9" t="inlineStr">
        <is>
          <t>docs/08-business-examples</t>
        </is>
      </c>
      <c r="D19" s="10" t="inlineStr">
        <is>
          <t>완료</t>
        </is>
      </c>
      <c r="E19" s="10" t="inlineStr">
        <is>
          <t>독립 검토 40건 반영 (병렬 합류 교착, DMN 매핑, 경로별 변수, 원본 출처 등)</t>
        </is>
      </c>
    </row>
    <row r="20">
      <c r="A20" s="9" t="inlineStr">
        <is>
          <t>M0</t>
        </is>
      </c>
      <c r="B20" s="9" t="inlineStr">
        <is>
          <t>업무 예제 읽어 보기 — 업무 흐름·판단 기준이 실제와 맞는지</t>
        </is>
      </c>
      <c r="C20" s="9" t="inlineStr">
        <is>
          <t>업무 예제 시트</t>
        </is>
      </c>
      <c r="D20" s="10" t="inlineStr">
        <is>
          <t>대기</t>
        </is>
      </c>
      <c r="E20" s="10" t="inlineStr">
        <is>
          <t>분야별 카드 finance/scm/hr/ops.md</t>
        </is>
      </c>
    </row>
    <row r="21">
      <c r="A21" s="9" t="inlineStr">
        <is>
          <t>M3</t>
        </is>
      </c>
      <c r="B21" s="9" t="inlineStr">
        <is>
          <t>식 언어 도우미 함수 목록 확정 (예제가 쓰는 것이 첫 후보)</t>
        </is>
      </c>
      <c r="C21" s="9" t="inlineStr">
        <is>
          <t>C14 규칙 6</t>
        </is>
      </c>
      <c r="D21" s="10" t="inlineStr">
        <is>
          <t>대기</t>
        </is>
      </c>
      <c r="E21" s="10" t="inlineStr"/>
    </row>
    <row r="22">
      <c r="A22" s="9" t="inlineStr">
        <is>
          <t>M3</t>
        </is>
      </c>
      <c r="B22" s="9" t="inlineStr">
        <is>
          <t>SpiffWorkflow 파서가 chk:rule(규칙 태스크)을 읽게 확장</t>
        </is>
      </c>
      <c r="C22" s="9" t="inlineStr">
        <is>
          <t>08-business-examples README</t>
        </is>
      </c>
      <c r="D22" s="10" t="inlineStr">
        <is>
          <t>대기</t>
        </is>
      </c>
      <c r="E22" s="10" t="inlineStr">
        <is>
          <t>기본 파서는 camunda:decisionRef를 기대</t>
        </is>
      </c>
    </row>
    <row r="23">
      <c r="A23" s="9" t="inlineStr">
        <is>
          <t>M5</t>
        </is>
      </c>
      <c r="B23" s="9" t="inlineStr">
        <is>
          <t>예제용 모의 서비스 앱 samples/mock-* (ERP·디렉터리·신용·헬프데스크 등)</t>
        </is>
      </c>
      <c r="C23" s="9" t="inlineStr">
        <is>
          <t>05-roadmap M5</t>
        </is>
      </c>
      <c r="D23" s="10" t="inlineStr">
        <is>
          <t>대기</t>
        </is>
      </c>
      <c r="E23" s="10" t="inlineStr"/>
    </row>
    <row r="24">
      <c r="A24" s="9" t="inlineStr">
        <is>
          <t>M7</t>
        </is>
      </c>
      <c r="B24" s="9" t="inlineStr">
        <is>
          <t>메시지 보관(TTL) — 받는 곳이 아직 없을 때 온 메시지</t>
        </is>
      </c>
      <c r="C24" s="9" t="inlineStr">
        <is>
          <t>C12</t>
        </is>
      </c>
      <c r="D24" s="10" t="inlineStr">
        <is>
          <t>대기</t>
        </is>
      </c>
      <c r="E24" s="10" t="inlineStr">
        <is>
          <t>BX-05·11·13·34</t>
        </is>
      </c>
    </row>
    <row r="25">
      <c r="A25" s="9" t="inlineStr">
        <is>
          <t>M1</t>
        </is>
      </c>
      <c r="B25" s="9" t="inlineStr">
        <is>
          <t>M1 시작: 워크스페이스·계약 골격·extension_api·토큰 생성기·스파이크 S1~S5</t>
        </is>
      </c>
      <c r="C25" s="9" t="inlineStr">
        <is>
          <t>05-roadmap M1</t>
        </is>
      </c>
      <c r="D25" s="10" t="inlineStr">
        <is>
          <t>대기</t>
        </is>
      </c>
      <c r="E25" s="10" t="inlineStr"/>
    </row>
    <row r="26">
      <c r="A26" s="9" t="inlineStr">
        <is>
          <t>M1</t>
        </is>
      </c>
      <c r="B26" s="9" t="inlineStr">
        <is>
          <t>스파이크 S5 확장 로딩 (설치 파일에 엔트리 포인트 확장 포함)</t>
        </is>
      </c>
      <c r="C26" s="9" t="inlineStr">
        <is>
          <t>05-roadmap M1</t>
        </is>
      </c>
      <c r="D26" s="10" t="inlineStr">
        <is>
          <t>대기</t>
        </is>
      </c>
      <c r="E26" s="10" t="inlineStr"/>
    </row>
    <row r="27">
      <c r="A27" s="9" t="inlineStr">
        <is>
          <t>나중</t>
        </is>
      </c>
      <c r="B27" s="9" t="inlineStr">
        <is>
          <t>계약 C12 서버 실행기 검토 (M7 전)</t>
        </is>
      </c>
      <c r="C27" s="9" t="inlineStr">
        <is>
          <t>docs/03-contracts</t>
        </is>
      </c>
      <c r="D27" s="10" t="inlineStr">
        <is>
          <t>보류</t>
        </is>
      </c>
      <c r="E27" s="10" t="inlineStr"/>
    </row>
    <row r="28">
      <c r="A28" s="9" t="inlineStr">
        <is>
          <t>M0</t>
        </is>
      </c>
      <c r="B28" s="9" t="inlineStr">
        <is>
          <t>스타일 가이드·디자인 토큰 검토 (design/preview.html)</t>
        </is>
      </c>
      <c r="C28" s="9" t="inlineStr">
        <is>
          <t>docs/07-style-guide.md</t>
        </is>
      </c>
      <c r="D28" s="10" t="inlineStr">
        <is>
          <t>완료</t>
        </is>
      </c>
      <c r="E28" s="10" t="inlineStr">
        <is>
          <t>일단 괜찮음</t>
        </is>
      </c>
    </row>
    <row r="29">
      <c r="A29" s="9" t="inlineStr">
        <is>
          <t>M0</t>
        </is>
      </c>
      <c r="B29" s="9" t="inlineStr">
        <is>
          <t>계약 C12 Center ↔ 서버 실행기 초안 (M7 전까지)</t>
        </is>
      </c>
      <c r="C29" s="9" t="inlineStr">
        <is>
          <t>docs/03-contracts</t>
        </is>
      </c>
      <c r="D29" s="10" t="inlineStr">
        <is>
          <t>대기</t>
        </is>
      </c>
      <c r="E29" s="10" t="inlineStr"/>
    </row>
    <row r="30">
      <c r="A30" s="9" t="inlineStr">
        <is>
          <t>정리</t>
        </is>
      </c>
      <c r="B30" s="9" t="inlineStr">
        <is>
          <t>장치의 옛 파일 삭제: docs/06-screens/bot.md, docs/reference/ 옛 파일 4개 (agentworks.md 등)</t>
        </is>
      </c>
      <c r="C30" s="9" t="inlineStr">
        <is>
          <t>~/Workspace/Chaeksas</t>
        </is>
      </c>
      <c r="D30" s="10" t="inlineStr">
        <is>
          <t>완료</t>
        </is>
      </c>
      <c r="E30" s="10" t="inlineStr"/>
    </row>
    <row r="31">
      <c r="A31" s="9" t="inlineStr">
        <is>
          <t>정리</t>
        </is>
      </c>
      <c r="B31" s="9" t="inlineStr">
        <is>
          <t>Chaeksas 폴더 git init + 원격 저장소 연결 (다른 PC에서 clone)</t>
        </is>
      </c>
      <c r="C31" s="9" t="inlineStr">
        <is>
          <t>~/Workspace/Chaeksas</t>
        </is>
      </c>
      <c r="D31" s="10" t="inlineStr">
        <is>
          <t>대기</t>
        </is>
      </c>
      <c r="E31" s="10" t="inlineStr"/>
    </row>
    <row r="32">
      <c r="A32" s="9" t="inlineStr">
        <is>
          <t>나중</t>
        </is>
      </c>
      <c r="B32" s="9" t="inlineStr">
        <is>
          <t>무인 실행 (Windows 서비스 모드) 검토</t>
        </is>
      </c>
      <c r="C32" s="9" t="inlineStr">
        <is>
          <t>00-vision 열린 질문</t>
        </is>
      </c>
      <c r="D32" s="10" t="inlineStr">
        <is>
          <t>보류</t>
        </is>
      </c>
      <c r="E32" s="10" t="inlineStr"/>
    </row>
    <row r="33">
      <c r="A33" s="9" t="inlineStr">
        <is>
          <t>나중</t>
        </is>
      </c>
      <c r="B33" s="9" t="inlineStr">
        <is>
          <t>Bot UI가 많아질 때 서비스 앱 키 배포 방식 (암호화 키 묶음)</t>
        </is>
      </c>
      <c r="C33" s="9" t="inlineStr">
        <is>
          <t>ADR-0013 제안 보완</t>
        </is>
      </c>
      <c r="D33" s="10" t="inlineStr">
        <is>
          <t>보류</t>
        </is>
      </c>
      <c r="E33" s="10" t="inlineStr"/>
    </row>
    <row r="34">
      <c r="A34" s="9" t="inlineStr">
        <is>
          <t>나중</t>
        </is>
      </c>
      <c r="B34" s="9" t="inlineStr">
        <is>
          <t>제품 이름을 사용자 화면에도 쓸지</t>
        </is>
      </c>
      <c r="C34" s="9" t="inlineStr">
        <is>
          <t>00-vision 열린 질문</t>
        </is>
      </c>
      <c r="D34" s="10" t="inlineStr">
        <is>
          <t>보류</t>
        </is>
      </c>
      <c r="E34" s="10" t="inlineStr"/>
    </row>
  </sheetData>
  <autoFilter ref="A1:E34"/>
  <dataValidations count="1">
    <dataValidation sqref="D2:D34" showDropDown="0" showInputMessage="0" showErrorMessage="0" allowBlank="1" type="list">
      <formula1>"대기,진행 중,완료,보류"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2026-10-01T03:29:15Z</dcterms:created>
  <dcterms:modified xmlns:dcterms="http://purl.org/dc/terms/" xmlns:xsi="http://www.w3.org/2001/XMLSchema-instance" xsi:type="dcterms:W3CDTF">2026-10-01T03:29:15Z</dcterms:modified>
</cp:coreProperties>
</file>